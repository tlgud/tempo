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_QC_Summary" sheetId="1" state="visible" r:id="rId1"/>
    <sheet xmlns:r="http://schemas.openxmlformats.org/officeDocument/2006/relationships" name="QC_Dictionary" sheetId="2" state="visible" r:id="rId2"/>
    <sheet xmlns:r="http://schemas.openxmlformats.org/officeDocument/2006/relationships" name="A_Replicates" sheetId="3" state="visible" r:id="rId3"/>
    <sheet xmlns:r="http://schemas.openxmlformats.org/officeDocument/2006/relationships" name="B_Replicates" sheetId="4" state="visible" r:id="rId4"/>
    <sheet xmlns:r="http://schemas.openxmlformats.org/officeDocument/2006/relationships" name="Density_Replicates" sheetId="5" state="visible" r:id="rId5"/>
    <sheet xmlns:r="http://schemas.openxmlformats.org/officeDocument/2006/relationships" name="A_Replicates_INCL" sheetId="6" state="visible" r:id="rId6"/>
    <sheet xmlns:r="http://schemas.openxmlformats.org/officeDocument/2006/relationships" name="A_Replicates_EXC" sheetId="7" state="visible" r:id="rId7"/>
    <sheet xmlns:r="http://schemas.openxmlformats.org/officeDocument/2006/relationships" name="Metric_Statistics" sheetId="8" state="visible" r:id="rId8"/>
    <sheet xmlns:r="http://schemas.openxmlformats.org/officeDocument/2006/relationships" name="A_Step_Replicates" sheetId="9" state="visible" r:id="rId9"/>
    <sheet xmlns:r="http://schemas.openxmlformats.org/officeDocument/2006/relationships" name="A_Step_Statistics" sheetId="10" state="visible" r:id="rId10"/>
    <sheet xmlns:r="http://schemas.openxmlformats.org/officeDocument/2006/relationships" name="Replicate_Flags" sheetId="11" state="visible" r:id="rId11"/>
    <sheet xmlns:r="http://schemas.openxmlformats.org/officeDocument/2006/relationships" name="Traceability" sheetId="12" state="visible" r:id="rId12"/>
    <sheet xmlns:r="http://schemas.openxmlformats.org/officeDocument/2006/relationships" name="StepAudit" sheetId="13" state="visible" r:id="rId13"/>
    <sheet xmlns:r="http://schemas.openxmlformats.org/officeDocument/2006/relationships" name="QCPolicy" sheetId="14" state="visible" r:id="rId14"/>
    <sheet xmlns:r="http://schemas.openxmlformats.org/officeDocument/2006/relationships" name="DecadeSSI" sheetId="15" state="visible" r:id="rId1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66666"/>
      <sz val="10"/>
    </font>
    <font>
      <name val="Calibri"/>
      <color rgb="000563C1"/>
      <sz val="9"/>
      <u val="single"/>
    </font>
    <font>
      <name val="Calibri"/>
      <b val="1"/>
      <color rgb="00FFFFFF"/>
    </font>
    <font>
      <b val="1"/>
      <color rgb="009C0006"/>
    </font>
    <font>
      <b val="1"/>
    </font>
    <font>
      <i val="1"/>
      <color rgb="009C65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5" fillId="3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2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9">
    <dxf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E4DFEC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00F4B18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HT-SYN Lot 평균 유동곡선 (정량 Step)</a:t>
            </a:r>
          </a:p>
        </rich>
      </tx>
    </title>
    <plotArea>
      <scatterChart>
        <ser>
          <idx val="0"/>
          <order val="0"/>
          <tx>
            <v>Up</v>
          </tx>
          <spPr>
            <a:ln xmlns:a="http://schemas.openxmlformats.org/drawingml/2006/main">
              <a:solidFill>
                <a:srgbClr val="1F4E7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4E78"/>
              </a:solidFill>
              <a:ln xmlns:a="http://schemas.openxmlformats.org/drawingml/2006/main">
                <a:prstDash val="solid"/>
              </a:ln>
            </spPr>
          </marker>
          <xVal>
            <numRef>
              <f>'A_Step_Statistics'!$D$6:$D$15</f>
            </numRef>
          </xVal>
          <yVal>
            <numRef>
              <f>'A_Step_Statistics'!$F$6:$F$15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Shear rate γ̇ (1/s)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Shear stress τ (Pa)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_Rep" displayName="A_Rep" ref="B5:HT6" headerRowCount="1">
  <autoFilter ref="B5:HT6"/>
  <tableColumns count="227">
    <tableColumn id="2" name="lot"/>
    <tableColumn id="3" name="repeat"/>
    <tableColumn id="4" name="file"/>
    <tableColumn id="5" name="test_start"/>
    <tableColumn id="6" name="route"/>
    <tableColumn id="7" name="data_qc"/>
    <tableColumn id="8" name="A_TAU_L_UP"/>
    <tableColumn id="9" name="A_TAU_M_UP"/>
    <tableColumn id="10" name="A_TAU_H_UP"/>
    <tableColumn id="11" name="A_SSI_FIELD_0P2_2"/>
    <tableColumn id="12" name="A_SSI_QC_0P5_5"/>
    <tableColumn id="13" name="A_DU_L"/>
    <tableColumn id="14" name="A_DU_M"/>
    <tableColumn id="15" name="A_HYS_REL"/>
    <tableColumn id="16" name="A_BRK_PEAK"/>
    <tableColumn id="17" name="A_HB_TAUY_UP"/>
    <tableColumn id="18" name="A_HB_K_UP"/>
    <tableColumn id="19" name="A_HB_N_UP"/>
    <tableColumn id="20" name="A_HB_R2_UP"/>
    <tableColumn id="21" name="A_HB_R2_DN"/>
    <tableColumn id="22" name="A_HB_TAUY_DN"/>
    <tableColumn id="23" name="A_HB_K_DN"/>
    <tableColumn id="24" name="A_HB_N_DN"/>
    <tableColumn id="25" name="A_HB_TAUY_RATIO"/>
    <tableColumn id="26" name="A_HDI"/>
    <tableColumn id="27" name="A_OVS_L"/>
    <tableColumn id="28" name="A_HB_GRANGE"/>
    <tableColumn id="29" name="A_ETA_MIN_UP"/>
    <tableColumn id="30" name="A_ETA_HIGH"/>
    <tableColumn id="31" name="A_ETA_LOW_DN"/>
    <tableColumn id="32" name="A_STATIC_YIELD_APPROX_UP"/>
    <tableColumn id="33" name="A_POST_SHEAR_STARTUP_STRESS"/>
    <tableColumn id="34" name="A_POST_SHEAR_STRESS_RETENTION"/>
    <tableColumn id="35" name="A_ETA_RECOVERY_LOW"/>
    <tableColumn id="36" name="A_HYS_AREA_SIGNED"/>
    <tableColumn id="37" name="A_HYS_AREA_ABS"/>
    <tableColumn id="38" name="A_HB_K_RATIO"/>
    <tableColumn id="39" name="A_HB_N_DIFF"/>
    <tableColumn id="40" name="A_HB_TAUY_UP_COMMON"/>
    <tableColumn id="41" name="A_HB_K_UP_COMMON"/>
    <tableColumn id="42" name="A_HB_N_UP_COMMON"/>
    <tableColumn id="43" name="A_HB_R2_UP_COMMON"/>
    <tableColumn id="44" name="A_HB_TAUY_DN_COMMON"/>
    <tableColumn id="45" name="A_HB_K_DN_COMMON"/>
    <tableColumn id="46" name="A_HB_N_DN_COMMON"/>
    <tableColumn id="47" name="A_HB_R2_DN_COMMON"/>
    <tableColumn id="48" name="A_HB_TAUY_RATIO_COMMON"/>
    <tableColumn id="49" name="A_STARTUP_PLATEAU_UP"/>
    <tableColumn id="50" name="A_POST_SHEAR_PLATEAU"/>
    <tableColumn id="51" name="A_PLATEAU_RETENTION"/>
    <tableColumn id="52" name="A_TQ_L"/>
    <tableColumn id="53" name="A_RES_L"/>
    <tableColumn id="54" name="A_DUL_FLOOR"/>
    <tableColumn id="55" name="A_EQ_DRIFT_MAX"/>
    <tableColumn id="56" name="A_TEMP_MEAN"/>
    <tableColumn id="57" name="A_TEMP_SPAN"/>
    <tableColumn id="58" name="A_N_QUANT"/>
    <tableColumn id="59" name="A_TAU_L_UP__include_in_lot_stats"/>
    <tableColumn id="60" name="A_TAU_L_UP__stat_value"/>
    <tableColumn id="61" name="A_TAU_L_UP__lot_exclusion_reason"/>
    <tableColumn id="62" name="A_TAU_M_UP__include_in_lot_stats"/>
    <tableColumn id="63" name="A_TAU_M_UP__stat_value"/>
    <tableColumn id="64" name="A_TAU_M_UP__lot_exclusion_reason"/>
    <tableColumn id="65" name="A_TAU_H_UP__include_in_lot_stats"/>
    <tableColumn id="66" name="A_TAU_H_UP__stat_value"/>
    <tableColumn id="67" name="A_TAU_H_UP__lot_exclusion_reason"/>
    <tableColumn id="68" name="A_SSI_FIELD_0P2_2__include_in_lot_stats"/>
    <tableColumn id="69" name="A_SSI_FIELD_0P2_2__stat_value"/>
    <tableColumn id="70" name="A_SSI_FIELD_0P2_2__lot_exclusion_reason"/>
    <tableColumn id="71" name="A_SSI_QC_0P5_5__include_in_lot_stats"/>
    <tableColumn id="72" name="A_SSI_QC_0P5_5__stat_value"/>
    <tableColumn id="73" name="A_SSI_QC_0P5_5__lot_exclusion_reason"/>
    <tableColumn id="74" name="A_DU_L__include_in_lot_stats"/>
    <tableColumn id="75" name="A_DU_L__stat_value"/>
    <tableColumn id="76" name="A_DU_L__lot_exclusion_reason"/>
    <tableColumn id="77" name="A_DU_M__include_in_lot_stats"/>
    <tableColumn id="78" name="A_DU_M__stat_value"/>
    <tableColumn id="79" name="A_DU_M__lot_exclusion_reason"/>
    <tableColumn id="80" name="A_HYS_REL__include_in_lot_stats"/>
    <tableColumn id="81" name="A_HYS_REL__stat_value"/>
    <tableColumn id="82" name="A_HYS_REL__lot_exclusion_reason"/>
    <tableColumn id="83" name="A_BRK_PEAK__include_in_lot_stats"/>
    <tableColumn id="84" name="A_BRK_PEAK__stat_value"/>
    <tableColumn id="85" name="A_BRK_PEAK__lot_exclusion_reason"/>
    <tableColumn id="86" name="A_HB_TAUY_UP__include_in_lot_stats"/>
    <tableColumn id="87" name="A_HB_TAUY_UP__stat_value"/>
    <tableColumn id="88" name="A_HB_TAUY_UP__lot_exclusion_reason"/>
    <tableColumn id="89" name="A_HB_K_UP__include_in_lot_stats"/>
    <tableColumn id="90" name="A_HB_K_UP__stat_value"/>
    <tableColumn id="91" name="A_HB_K_UP__lot_exclusion_reason"/>
    <tableColumn id="92" name="A_HB_N_UP__include_in_lot_stats"/>
    <tableColumn id="93" name="A_HB_N_UP__stat_value"/>
    <tableColumn id="94" name="A_HB_N_UP__lot_exclusion_reason"/>
    <tableColumn id="95" name="A_HB_R2_UP__include_in_lot_stats"/>
    <tableColumn id="96" name="A_HB_R2_UP__stat_value"/>
    <tableColumn id="97" name="A_HB_R2_UP__lot_exclusion_reason"/>
    <tableColumn id="98" name="A_HB_R2_DN__include_in_lot_stats"/>
    <tableColumn id="99" name="A_HB_R2_DN__stat_value"/>
    <tableColumn id="100" name="A_HB_R2_DN__lot_exclusion_reason"/>
    <tableColumn id="101" name="A_HB_TAUY_DN__include_in_lot_stats"/>
    <tableColumn id="102" name="A_HB_TAUY_DN__stat_value"/>
    <tableColumn id="103" name="A_HB_TAUY_DN__lot_exclusion_reason"/>
    <tableColumn id="104" name="A_HB_K_DN__include_in_lot_stats"/>
    <tableColumn id="105" name="A_HB_K_DN__stat_value"/>
    <tableColumn id="106" name="A_HB_K_DN__lot_exclusion_reason"/>
    <tableColumn id="107" name="A_HB_N_DN__include_in_lot_stats"/>
    <tableColumn id="108" name="A_HB_N_DN__stat_value"/>
    <tableColumn id="109" name="A_HB_N_DN__lot_exclusion_reason"/>
    <tableColumn id="110" name="A_HB_TAUY_RATIO__include_in_lot_stats"/>
    <tableColumn id="111" name="A_HB_TAUY_RATIO__stat_value"/>
    <tableColumn id="112" name="A_HB_TAUY_RATIO__lot_exclusion_reason"/>
    <tableColumn id="113" name="A_HDI__include_in_lot_stats"/>
    <tableColumn id="114" name="A_HDI__stat_value"/>
    <tableColumn id="115" name="A_HDI__lot_exclusion_reason"/>
    <tableColumn id="116" name="A_OVS_L__include_in_lot_stats"/>
    <tableColumn id="117" name="A_OVS_L__stat_value"/>
    <tableColumn id="118" name="A_OVS_L__lot_exclusion_reason"/>
    <tableColumn id="119" name="A_HB_GRANGE__include_in_lot_stats"/>
    <tableColumn id="120" name="A_HB_GRANGE__stat_value"/>
    <tableColumn id="121" name="A_HB_GRANGE__lot_exclusion_reason"/>
    <tableColumn id="122" name="A_ETA_MIN_UP__include_in_lot_stats"/>
    <tableColumn id="123" name="A_ETA_MIN_UP__stat_value"/>
    <tableColumn id="124" name="A_ETA_MIN_UP__lot_exclusion_reason"/>
    <tableColumn id="125" name="A_ETA_HIGH__include_in_lot_stats"/>
    <tableColumn id="126" name="A_ETA_HIGH__stat_value"/>
    <tableColumn id="127" name="A_ETA_HIGH__lot_exclusion_reason"/>
    <tableColumn id="128" name="A_ETA_LOW_DN__include_in_lot_stats"/>
    <tableColumn id="129" name="A_ETA_LOW_DN__stat_value"/>
    <tableColumn id="130" name="A_ETA_LOW_DN__lot_exclusion_reason"/>
    <tableColumn id="131" name="A_STATIC_YIELD_APPROX_UP__include_in_lot_stats"/>
    <tableColumn id="132" name="A_STATIC_YIELD_APPROX_UP__stat_value"/>
    <tableColumn id="133" name="A_STATIC_YIELD_APPROX_UP__lot_exclusion_reason"/>
    <tableColumn id="134" name="A_POST_SHEAR_STARTUP_STRESS__include_in_lot_stats"/>
    <tableColumn id="135" name="A_POST_SHEAR_STARTUP_STRESS__stat_value"/>
    <tableColumn id="136" name="A_POST_SHEAR_STARTUP_STRESS__lot_exclusion_reason"/>
    <tableColumn id="137" name="A_POST_SHEAR_STRESS_RETENTION__include_in_lot_stats"/>
    <tableColumn id="138" name="A_POST_SHEAR_STRESS_RETENTION__stat_value"/>
    <tableColumn id="139" name="A_POST_SHEAR_STRESS_RETENTION__lot_exclusion_reason"/>
    <tableColumn id="140" name="A_ETA_RECOVERY_LOW__include_in_lot_stats"/>
    <tableColumn id="141" name="A_ETA_RECOVERY_LOW__stat_value"/>
    <tableColumn id="142" name="A_ETA_RECOVERY_LOW__lot_exclusion_reason"/>
    <tableColumn id="143" name="A_HYS_AREA_SIGNED__include_in_lot_stats"/>
    <tableColumn id="144" name="A_HYS_AREA_SIGNED__stat_value"/>
    <tableColumn id="145" name="A_HYS_AREA_SIGNED__lot_exclusion_reason"/>
    <tableColumn id="146" name="A_HYS_AREA_ABS__include_in_lot_stats"/>
    <tableColumn id="147" name="A_HYS_AREA_ABS__stat_value"/>
    <tableColumn id="148" name="A_HYS_AREA_ABS__lot_exclusion_reason"/>
    <tableColumn id="149" name="A_HB_K_RATIO__include_in_lot_stats"/>
    <tableColumn id="150" name="A_HB_K_RATIO__stat_value"/>
    <tableColumn id="151" name="A_HB_K_RATIO__lot_exclusion_reason"/>
    <tableColumn id="152" name="A_HB_N_DIFF__include_in_lot_stats"/>
    <tableColumn id="153" name="A_HB_N_DIFF__stat_value"/>
    <tableColumn id="154" name="A_HB_N_DIFF__lot_exclusion_reason"/>
    <tableColumn id="155" name="A_HB_TAUY_UP_COMMON__include_in_lot_stats"/>
    <tableColumn id="156" name="A_HB_TAUY_UP_COMMON__stat_value"/>
    <tableColumn id="157" name="A_HB_TAUY_UP_COMMON__lot_exclusion_reason"/>
    <tableColumn id="158" name="A_HB_K_UP_COMMON__include_in_lot_stats"/>
    <tableColumn id="159" name="A_HB_K_UP_COMMON__stat_value"/>
    <tableColumn id="160" name="A_HB_K_UP_COMMON__lot_exclusion_reason"/>
    <tableColumn id="161" name="A_HB_N_UP_COMMON__include_in_lot_stats"/>
    <tableColumn id="162" name="A_HB_N_UP_COMMON__stat_value"/>
    <tableColumn id="163" name="A_HB_N_UP_COMMON__lot_exclusion_reason"/>
    <tableColumn id="164" name="A_HB_R2_UP_COMMON__include_in_lot_stats"/>
    <tableColumn id="165" name="A_HB_R2_UP_COMMON__stat_value"/>
    <tableColumn id="166" name="A_HB_R2_UP_COMMON__lot_exclusion_reason"/>
    <tableColumn id="167" name="A_HB_TAUY_DN_COMMON__include_in_lot_stats"/>
    <tableColumn id="168" name="A_HB_TAUY_DN_COMMON__stat_value"/>
    <tableColumn id="169" name="A_HB_TAUY_DN_COMMON__lot_exclusion_reason"/>
    <tableColumn id="170" name="A_HB_K_DN_COMMON__include_in_lot_stats"/>
    <tableColumn id="171" name="A_HB_K_DN_COMMON__stat_value"/>
    <tableColumn id="172" name="A_HB_K_DN_COMMON__lot_exclusion_reason"/>
    <tableColumn id="173" name="A_HB_N_DN_COMMON__include_in_lot_stats"/>
    <tableColumn id="174" name="A_HB_N_DN_COMMON__stat_value"/>
    <tableColumn id="175" name="A_HB_N_DN_COMMON__lot_exclusion_reason"/>
    <tableColumn id="176" name="A_HB_R2_DN_COMMON__include_in_lot_stats"/>
    <tableColumn id="177" name="A_HB_R2_DN_COMMON__stat_value"/>
    <tableColumn id="178" name="A_HB_R2_DN_COMMON__lot_exclusion_reason"/>
    <tableColumn id="179" name="A_HB_TAUY_RATIO_COMMON__include_in_lot_stats"/>
    <tableColumn id="180" name="A_HB_TAUY_RATIO_COMMON__stat_value"/>
    <tableColumn id="181" name="A_HB_TAUY_RATIO_COMMON__lot_exclusion_reason"/>
    <tableColumn id="182" name="A_STARTUP_PLATEAU_UP__include_in_lot_stats"/>
    <tableColumn id="183" name="A_STARTUP_PLATEAU_UP__stat_value"/>
    <tableColumn id="184" name="A_STARTUP_PLATEAU_UP__lot_exclusion_reason"/>
    <tableColumn id="185" name="A_POST_SHEAR_PLATEAU__include_in_lot_stats"/>
    <tableColumn id="186" name="A_POST_SHEAR_PLATEAU__stat_value"/>
    <tableColumn id="187" name="A_POST_SHEAR_PLATEAU__lot_exclusion_reason"/>
    <tableColumn id="188" name="A_PLATEAU_RETENTION__include_in_lot_stats"/>
    <tableColumn id="189" name="A_PLATEAU_RETENTION__stat_value"/>
    <tableColumn id="190" name="A_PLATEAU_RETENTION__lot_exclusion_reason"/>
    <tableColumn id="191" name="A_TQ_L__include_in_lot_stats"/>
    <tableColumn id="192" name="A_TQ_L__stat_value"/>
    <tableColumn id="193" name="A_TQ_L__lot_exclusion_reason"/>
    <tableColumn id="194" name="A_RES_L__include_in_lot_stats"/>
    <tableColumn id="195" name="A_RES_L__stat_value"/>
    <tableColumn id="196" name="A_RES_L__lot_exclusion_reason"/>
    <tableColumn id="197" name="A_DUL_FLOOR__include_in_lot_stats"/>
    <tableColumn id="198" name="A_DUL_FLOOR__stat_value"/>
    <tableColumn id="199" name="A_DUL_FLOOR__lot_exclusion_reason"/>
    <tableColumn id="200" name="A_EQ_DRIFT_MAX__include_in_lot_stats"/>
    <tableColumn id="201" name="A_EQ_DRIFT_MAX__stat_value"/>
    <tableColumn id="202" name="A_EQ_DRIFT_MAX__lot_exclusion_reason"/>
    <tableColumn id="203" name="A_TEMP_MEAN__include_in_lot_stats"/>
    <tableColumn id="204" name="A_TEMP_MEAN__stat_value"/>
    <tableColumn id="205" name="A_TEMP_MEAN__lot_exclusion_reason"/>
    <tableColumn id="206" name="A_TEMP_SPAN__include_in_lot_stats"/>
    <tableColumn id="207" name="A_TEMP_SPAN__stat_value"/>
    <tableColumn id="208" name="A_TEMP_SPAN__lot_exclusion_reason"/>
    <tableColumn id="209" name="A_N_QUANT__include_in_lot_stats"/>
    <tableColumn id="210" name="A_N_QUANT__stat_value"/>
    <tableColumn id="211" name="A_N_QUANT__lot_exclusion_reason"/>
    <tableColumn id="212" name="A_SSI_FIELD_0P2_2_value"/>
    <tableColumn id="213" name="A_SSI_FIELD_0P2_2_num_rpm"/>
    <tableColumn id="214" name="A_SSI_FIELD_0P2_2_den_rpm"/>
    <tableColumn id="215" name="A_SSI_FIELD_0P2_2_num_step"/>
    <tableColumn id="216" name="A_SSI_FIELD_0P2_2_den_step"/>
    <tableColumn id="217" name="A_SSI_FIELD_0P2_2_value_class"/>
    <tableColumn id="218" name="A_SSI_QC_0P5_5_value"/>
    <tableColumn id="219" name="A_SSI_QC_0P5_5_num_rpm"/>
    <tableColumn id="220" name="A_SSI_QC_0P5_5_den_rpm"/>
    <tableColumn id="221" name="A_SSI_QC_0P5_5_num_step"/>
    <tableColumn id="222" name="A_SSI_QC_0P5_5_den_step"/>
    <tableColumn id="223" name="A_SSI_QC_0P5_5_value_class"/>
    <tableColumn id="224" name="A_TAU_H_UP_rpm"/>
    <tableColumn id="225" name="A_TAU_H_UP_step"/>
    <tableColumn id="226" name="A_ETA_HIGH_rpm"/>
    <tableColumn id="227" name="A_ETA_HIGH_step"/>
    <tableColumn id="228" name="temp_contro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A_Rep_INCL" displayName="A_Rep_INCL" ref="B5:JR6" headerRowCount="1">
  <autoFilter ref="B5:JR6"/>
  <tableColumns count="277">
    <tableColumn id="2" name="lot"/>
    <tableColumn id="3" name="repeat"/>
    <tableColumn id="4" name="file"/>
    <tableColumn id="5" name="test_start"/>
    <tableColumn id="6" name="route"/>
    <tableColumn id="7" name="data_qc"/>
    <tableColumn id="8" name="A_TAU_L_UP"/>
    <tableColumn id="9" name="A_TAU_M_UP"/>
    <tableColumn id="10" name="A_TAU_H_UP"/>
    <tableColumn id="11" name="A_SSI_FIELD_0P2_2"/>
    <tableColumn id="12" name="A_SSI_QC_0P5_5"/>
    <tableColumn id="13" name="A_DU_L"/>
    <tableColumn id="14" name="A_DU_M"/>
    <tableColumn id="15" name="A_HYS_REL"/>
    <tableColumn id="16" name="A_BRK_PEAK"/>
    <tableColumn id="17" name="A_HB_TAUY_UP"/>
    <tableColumn id="18" name="A_HB_K_UP"/>
    <tableColumn id="19" name="A_HB_N_UP"/>
    <tableColumn id="20" name="A_HB_R2_UP"/>
    <tableColumn id="21" name="A_HB_R2_DN"/>
    <tableColumn id="22" name="A_HB_TAUY_DN"/>
    <tableColumn id="23" name="A_HB_K_DN"/>
    <tableColumn id="24" name="A_HB_N_DN"/>
    <tableColumn id="25" name="A_HB_TAUY_RATIO"/>
    <tableColumn id="26" name="A_HDI"/>
    <tableColumn id="27" name="A_OVS_L"/>
    <tableColumn id="28" name="A_HB_GRANGE"/>
    <tableColumn id="29" name="A_ETA_MIN_UP"/>
    <tableColumn id="30" name="A_ETA_HIGH"/>
    <tableColumn id="31" name="A_ETA_LOW_DN"/>
    <tableColumn id="32" name="A_STATIC_YIELD_APPROX_UP"/>
    <tableColumn id="33" name="A_POST_SHEAR_STARTUP_STRESS"/>
    <tableColumn id="34" name="A_POST_SHEAR_STRESS_RETENTION"/>
    <tableColumn id="35" name="A_ETA_RECOVERY_LOW"/>
    <tableColumn id="36" name="A_HYS_AREA_SIGNED"/>
    <tableColumn id="37" name="A_HYS_AREA_ABS"/>
    <tableColumn id="38" name="A_HB_K_RATIO"/>
    <tableColumn id="39" name="A_HB_N_DIFF"/>
    <tableColumn id="40" name="A_HB_TAUY_UP_COMMON"/>
    <tableColumn id="41" name="A_HB_K_UP_COMMON"/>
    <tableColumn id="42" name="A_HB_N_UP_COMMON"/>
    <tableColumn id="43" name="A_HB_R2_UP_COMMON"/>
    <tableColumn id="44" name="A_HB_TAUY_DN_COMMON"/>
    <tableColumn id="45" name="A_HB_K_DN_COMMON"/>
    <tableColumn id="46" name="A_HB_N_DN_COMMON"/>
    <tableColumn id="47" name="A_HB_R2_DN_COMMON"/>
    <tableColumn id="48" name="A_HB_TAUY_RATIO_COMMON"/>
    <tableColumn id="49" name="A_STARTUP_PLATEAU_UP"/>
    <tableColumn id="50" name="A_POST_SHEAR_PLATEAU"/>
    <tableColumn id="51" name="A_PLATEAU_RETENTION"/>
    <tableColumn id="52" name="A_TQ_L"/>
    <tableColumn id="53" name="A_RES_L"/>
    <tableColumn id="54" name="A_DUL_FLOOR"/>
    <tableColumn id="55" name="A_EQ_DRIFT_MAX"/>
    <tableColumn id="56" name="A_TEMP_MEAN"/>
    <tableColumn id="57" name="A_TEMP_SPAN"/>
    <tableColumn id="58" name="A_N_QUANT"/>
    <tableColumn id="59" name="A_TAU_L_UP__include_in_lot_stats"/>
    <tableColumn id="60" name="A_TAU_L_UP__stat_value"/>
    <tableColumn id="61" name="A_TAU_L_UP__lot_exclusion_reason"/>
    <tableColumn id="62" name="A_TAU_M_UP__include_in_lot_stats"/>
    <tableColumn id="63" name="A_TAU_M_UP__stat_value"/>
    <tableColumn id="64" name="A_TAU_M_UP__lot_exclusion_reason"/>
    <tableColumn id="65" name="A_TAU_H_UP__include_in_lot_stats"/>
    <tableColumn id="66" name="A_TAU_H_UP__stat_value"/>
    <tableColumn id="67" name="A_TAU_H_UP__lot_exclusion_reason"/>
    <tableColumn id="68" name="A_SSI_FIELD_0P2_2__include_in_lot_stats"/>
    <tableColumn id="69" name="A_SSI_FIELD_0P2_2__stat_value"/>
    <tableColumn id="70" name="A_SSI_FIELD_0P2_2__lot_exclusion_reason"/>
    <tableColumn id="71" name="A_SSI_QC_0P5_5__include_in_lot_stats"/>
    <tableColumn id="72" name="A_SSI_QC_0P5_5__stat_value"/>
    <tableColumn id="73" name="A_SSI_QC_0P5_5__lot_exclusion_reason"/>
    <tableColumn id="74" name="A_DU_L__include_in_lot_stats"/>
    <tableColumn id="75" name="A_DU_L__stat_value"/>
    <tableColumn id="76" name="A_DU_L__lot_exclusion_reason"/>
    <tableColumn id="77" name="A_DU_M__include_in_lot_stats"/>
    <tableColumn id="78" name="A_DU_M__stat_value"/>
    <tableColumn id="79" name="A_DU_M__lot_exclusion_reason"/>
    <tableColumn id="80" name="A_HYS_REL__include_in_lot_stats"/>
    <tableColumn id="81" name="A_HYS_REL__stat_value"/>
    <tableColumn id="82" name="A_HYS_REL__lot_exclusion_reason"/>
    <tableColumn id="83" name="A_BRK_PEAK__include_in_lot_stats"/>
    <tableColumn id="84" name="A_BRK_PEAK__stat_value"/>
    <tableColumn id="85" name="A_BRK_PEAK__lot_exclusion_reason"/>
    <tableColumn id="86" name="A_HB_TAUY_UP__include_in_lot_stats"/>
    <tableColumn id="87" name="A_HB_TAUY_UP__stat_value"/>
    <tableColumn id="88" name="A_HB_TAUY_UP__lot_exclusion_reason"/>
    <tableColumn id="89" name="A_HB_K_UP__include_in_lot_stats"/>
    <tableColumn id="90" name="A_HB_K_UP__stat_value"/>
    <tableColumn id="91" name="A_HB_K_UP__lot_exclusion_reason"/>
    <tableColumn id="92" name="A_HB_N_UP__include_in_lot_stats"/>
    <tableColumn id="93" name="A_HB_N_UP__stat_value"/>
    <tableColumn id="94" name="A_HB_N_UP__lot_exclusion_reason"/>
    <tableColumn id="95" name="A_HB_R2_UP__include_in_lot_stats"/>
    <tableColumn id="96" name="A_HB_R2_UP__stat_value"/>
    <tableColumn id="97" name="A_HB_R2_UP__lot_exclusion_reason"/>
    <tableColumn id="98" name="A_HB_R2_DN__include_in_lot_stats"/>
    <tableColumn id="99" name="A_HB_R2_DN__stat_value"/>
    <tableColumn id="100" name="A_HB_R2_DN__lot_exclusion_reason"/>
    <tableColumn id="101" name="A_HB_TAUY_DN__include_in_lot_stats"/>
    <tableColumn id="102" name="A_HB_TAUY_DN__stat_value"/>
    <tableColumn id="103" name="A_HB_TAUY_DN__lot_exclusion_reason"/>
    <tableColumn id="104" name="A_HB_K_DN__include_in_lot_stats"/>
    <tableColumn id="105" name="A_HB_K_DN__stat_value"/>
    <tableColumn id="106" name="A_HB_K_DN__lot_exclusion_reason"/>
    <tableColumn id="107" name="A_HB_N_DN__include_in_lot_stats"/>
    <tableColumn id="108" name="A_HB_N_DN__stat_value"/>
    <tableColumn id="109" name="A_HB_N_DN__lot_exclusion_reason"/>
    <tableColumn id="110" name="A_HB_TAUY_RATIO__include_in_lot_stats"/>
    <tableColumn id="111" name="A_HB_TAUY_RATIO__stat_value"/>
    <tableColumn id="112" name="A_HB_TAUY_RATIO__lot_exclusion_reason"/>
    <tableColumn id="113" name="A_HDI__include_in_lot_stats"/>
    <tableColumn id="114" name="A_HDI__stat_value"/>
    <tableColumn id="115" name="A_HDI__lot_exclusion_reason"/>
    <tableColumn id="116" name="A_OVS_L__include_in_lot_stats"/>
    <tableColumn id="117" name="A_OVS_L__stat_value"/>
    <tableColumn id="118" name="A_OVS_L__lot_exclusion_reason"/>
    <tableColumn id="119" name="A_HB_GRANGE__include_in_lot_stats"/>
    <tableColumn id="120" name="A_HB_GRANGE__stat_value"/>
    <tableColumn id="121" name="A_HB_GRANGE__lot_exclusion_reason"/>
    <tableColumn id="122" name="A_ETA_MIN_UP__include_in_lot_stats"/>
    <tableColumn id="123" name="A_ETA_MIN_UP__stat_value"/>
    <tableColumn id="124" name="A_ETA_MIN_UP__lot_exclusion_reason"/>
    <tableColumn id="125" name="A_ETA_HIGH__include_in_lot_stats"/>
    <tableColumn id="126" name="A_ETA_HIGH__stat_value"/>
    <tableColumn id="127" name="A_ETA_HIGH__lot_exclusion_reason"/>
    <tableColumn id="128" name="A_ETA_LOW_DN__include_in_lot_stats"/>
    <tableColumn id="129" name="A_ETA_LOW_DN__stat_value"/>
    <tableColumn id="130" name="A_ETA_LOW_DN__lot_exclusion_reason"/>
    <tableColumn id="131" name="A_STATIC_YIELD_APPROX_UP__include_in_lot_stats"/>
    <tableColumn id="132" name="A_STATIC_YIELD_APPROX_UP__stat_value"/>
    <tableColumn id="133" name="A_STATIC_YIELD_APPROX_UP__lot_exclusion_reason"/>
    <tableColumn id="134" name="A_POST_SHEAR_STARTUP_STRESS__include_in_lot_stats"/>
    <tableColumn id="135" name="A_POST_SHEAR_STARTUP_STRESS__stat_value"/>
    <tableColumn id="136" name="A_POST_SHEAR_STARTUP_STRESS__lot_exclusion_reason"/>
    <tableColumn id="137" name="A_POST_SHEAR_STRESS_RETENTION__include_in_lot_stats"/>
    <tableColumn id="138" name="A_POST_SHEAR_STRESS_RETENTION__stat_value"/>
    <tableColumn id="139" name="A_POST_SHEAR_STRESS_RETENTION__lot_exclusion_reason"/>
    <tableColumn id="140" name="A_ETA_RECOVERY_LOW__include_in_lot_stats"/>
    <tableColumn id="141" name="A_ETA_RECOVERY_LOW__stat_value"/>
    <tableColumn id="142" name="A_ETA_RECOVERY_LOW__lot_exclusion_reason"/>
    <tableColumn id="143" name="A_HYS_AREA_SIGNED__include_in_lot_stats"/>
    <tableColumn id="144" name="A_HYS_AREA_SIGNED__stat_value"/>
    <tableColumn id="145" name="A_HYS_AREA_SIGNED__lot_exclusion_reason"/>
    <tableColumn id="146" name="A_HYS_AREA_ABS__include_in_lot_stats"/>
    <tableColumn id="147" name="A_HYS_AREA_ABS__stat_value"/>
    <tableColumn id="148" name="A_HYS_AREA_ABS__lot_exclusion_reason"/>
    <tableColumn id="149" name="A_HB_K_RATIO__include_in_lot_stats"/>
    <tableColumn id="150" name="A_HB_K_RATIO__stat_value"/>
    <tableColumn id="151" name="A_HB_K_RATIO__lot_exclusion_reason"/>
    <tableColumn id="152" name="A_HB_N_DIFF__include_in_lot_stats"/>
    <tableColumn id="153" name="A_HB_N_DIFF__stat_value"/>
    <tableColumn id="154" name="A_HB_N_DIFF__lot_exclusion_reason"/>
    <tableColumn id="155" name="A_HB_TAUY_UP_COMMON__include_in_lot_stats"/>
    <tableColumn id="156" name="A_HB_TAUY_UP_COMMON__stat_value"/>
    <tableColumn id="157" name="A_HB_TAUY_UP_COMMON__lot_exclusion_reason"/>
    <tableColumn id="158" name="A_HB_K_UP_COMMON__include_in_lot_stats"/>
    <tableColumn id="159" name="A_HB_K_UP_COMMON__stat_value"/>
    <tableColumn id="160" name="A_HB_K_UP_COMMON__lot_exclusion_reason"/>
    <tableColumn id="161" name="A_HB_N_UP_COMMON__include_in_lot_stats"/>
    <tableColumn id="162" name="A_HB_N_UP_COMMON__stat_value"/>
    <tableColumn id="163" name="A_HB_N_UP_COMMON__lot_exclusion_reason"/>
    <tableColumn id="164" name="A_HB_R2_UP_COMMON__include_in_lot_stats"/>
    <tableColumn id="165" name="A_HB_R2_UP_COMMON__stat_value"/>
    <tableColumn id="166" name="A_HB_R2_UP_COMMON__lot_exclusion_reason"/>
    <tableColumn id="167" name="A_HB_TAUY_DN_COMMON__include_in_lot_stats"/>
    <tableColumn id="168" name="A_HB_TAUY_DN_COMMON__stat_value"/>
    <tableColumn id="169" name="A_HB_TAUY_DN_COMMON__lot_exclusion_reason"/>
    <tableColumn id="170" name="A_HB_K_DN_COMMON__include_in_lot_stats"/>
    <tableColumn id="171" name="A_HB_K_DN_COMMON__stat_value"/>
    <tableColumn id="172" name="A_HB_K_DN_COMMON__lot_exclusion_reason"/>
    <tableColumn id="173" name="A_HB_N_DN_COMMON__include_in_lot_stats"/>
    <tableColumn id="174" name="A_HB_N_DN_COMMON__stat_value"/>
    <tableColumn id="175" name="A_HB_N_DN_COMMON__lot_exclusion_reason"/>
    <tableColumn id="176" name="A_HB_R2_DN_COMMON__include_in_lot_stats"/>
    <tableColumn id="177" name="A_HB_R2_DN_COMMON__stat_value"/>
    <tableColumn id="178" name="A_HB_R2_DN_COMMON__lot_exclusion_reason"/>
    <tableColumn id="179" name="A_HB_TAUY_RATIO_COMMON__include_in_lot_stats"/>
    <tableColumn id="180" name="A_HB_TAUY_RATIO_COMMON__stat_value"/>
    <tableColumn id="181" name="A_HB_TAUY_RATIO_COMMON__lot_exclusion_reason"/>
    <tableColumn id="182" name="A_STARTUP_PLATEAU_UP__include_in_lot_stats"/>
    <tableColumn id="183" name="A_STARTUP_PLATEAU_UP__stat_value"/>
    <tableColumn id="184" name="A_STARTUP_PLATEAU_UP__lot_exclusion_reason"/>
    <tableColumn id="185" name="A_POST_SHEAR_PLATEAU__include_in_lot_stats"/>
    <tableColumn id="186" name="A_POST_SHEAR_PLATEAU__stat_value"/>
    <tableColumn id="187" name="A_POST_SHEAR_PLATEAU__lot_exclusion_reason"/>
    <tableColumn id="188" name="A_PLATEAU_RETENTION__include_in_lot_stats"/>
    <tableColumn id="189" name="A_PLATEAU_RETENTION__stat_value"/>
    <tableColumn id="190" name="A_PLATEAU_RETENTION__lot_exclusion_reason"/>
    <tableColumn id="191" name="A_TQ_L__include_in_lot_stats"/>
    <tableColumn id="192" name="A_TQ_L__stat_value"/>
    <tableColumn id="193" name="A_TQ_L__lot_exclusion_reason"/>
    <tableColumn id="194" name="A_RES_L__include_in_lot_stats"/>
    <tableColumn id="195" name="A_RES_L__stat_value"/>
    <tableColumn id="196" name="A_RES_L__lot_exclusion_reason"/>
    <tableColumn id="197" name="A_DUL_FLOOR__include_in_lot_stats"/>
    <tableColumn id="198" name="A_DUL_FLOOR__stat_value"/>
    <tableColumn id="199" name="A_DUL_FLOOR__lot_exclusion_reason"/>
    <tableColumn id="200" name="A_EQ_DRIFT_MAX__include_in_lot_stats"/>
    <tableColumn id="201" name="A_EQ_DRIFT_MAX__stat_value"/>
    <tableColumn id="202" name="A_EQ_DRIFT_MAX__lot_exclusion_reason"/>
    <tableColumn id="203" name="A_TEMP_MEAN__include_in_lot_stats"/>
    <tableColumn id="204" name="A_TEMP_MEAN__stat_value"/>
    <tableColumn id="205" name="A_TEMP_MEAN__lot_exclusion_reason"/>
    <tableColumn id="206" name="A_TEMP_SPAN__include_in_lot_stats"/>
    <tableColumn id="207" name="A_TEMP_SPAN__stat_value"/>
    <tableColumn id="208" name="A_TEMP_SPAN__lot_exclusion_reason"/>
    <tableColumn id="209" name="A_N_QUANT__include_in_lot_stats"/>
    <tableColumn id="210" name="A_N_QUANT__stat_value"/>
    <tableColumn id="211" name="A_N_QUANT__lot_exclusion_reason"/>
    <tableColumn id="212" name="A_SSI_FIELD_0P2_2_value"/>
    <tableColumn id="213" name="A_SSI_FIELD_0P2_2_num_rpm"/>
    <tableColumn id="214" name="A_SSI_FIELD_0P2_2_den_rpm"/>
    <tableColumn id="215" name="A_SSI_FIELD_0P2_2_num_step"/>
    <tableColumn id="216" name="A_SSI_FIELD_0P2_2_den_step"/>
    <tableColumn id="217" name="A_SSI_FIELD_0P2_2_value_class"/>
    <tableColumn id="218" name="A_SSI_QC_0P5_5_value"/>
    <tableColumn id="219" name="A_SSI_QC_0P5_5_num_rpm"/>
    <tableColumn id="220" name="A_SSI_QC_0P5_5_den_rpm"/>
    <tableColumn id="221" name="A_SSI_QC_0P5_5_num_step"/>
    <tableColumn id="222" name="A_SSI_QC_0P5_5_den_step"/>
    <tableColumn id="223" name="A_SSI_QC_0P5_5_value_class"/>
    <tableColumn id="224" name="A_TAU_H_UP_rpm"/>
    <tableColumn id="225" name="A_TAU_H_UP_step"/>
    <tableColumn id="226" name="A_ETA_HIGH_rpm"/>
    <tableColumn id="227" name="A_ETA_HIGH_step"/>
    <tableColumn id="228" name="A_TAU_L_UP_class"/>
    <tableColumn id="229" name="A_TAU_M_UP_class"/>
    <tableColumn id="230" name="A_TAU_H_UP_class"/>
    <tableColumn id="231" name="A_SSI_FIELD_0P2_2_class"/>
    <tableColumn id="232" name="A_SSI_QC_0P5_5_class"/>
    <tableColumn id="233" name="A_DU_L_class"/>
    <tableColumn id="234" name="A_DU_M_class"/>
    <tableColumn id="235" name="A_HYS_REL_class"/>
    <tableColumn id="236" name="A_BRK_PEAK_class"/>
    <tableColumn id="237" name="A_HB_TAUY_UP_class"/>
    <tableColumn id="238" name="A_HB_K_UP_class"/>
    <tableColumn id="239" name="A_HB_N_UP_class"/>
    <tableColumn id="240" name="A_HB_R2_UP_class"/>
    <tableColumn id="241" name="A_HB_R2_DN_class"/>
    <tableColumn id="242" name="A_HB_TAUY_DN_class"/>
    <tableColumn id="243" name="A_HB_K_DN_class"/>
    <tableColumn id="244" name="A_HB_N_DN_class"/>
    <tableColumn id="245" name="A_HB_TAUY_RATIO_class"/>
    <tableColumn id="246" name="A_HDI_class"/>
    <tableColumn id="247" name="A_OVS_L_class"/>
    <tableColumn id="248" name="A_HB_GRANGE_class"/>
    <tableColumn id="249" name="A_ETA_MIN_UP_class"/>
    <tableColumn id="250" name="A_ETA_HIGH_class"/>
    <tableColumn id="251" name="A_ETA_LOW_DN_class"/>
    <tableColumn id="252" name="A_STATIC_YIELD_APPROX_UP_class"/>
    <tableColumn id="253" name="A_POST_SHEAR_STARTUP_STRESS_class"/>
    <tableColumn id="254" name="A_POST_SHEAR_STRESS_RETENTION_class"/>
    <tableColumn id="255" name="A_ETA_RECOVERY_LOW_class"/>
    <tableColumn id="256" name="A_HYS_AREA_SIGNED_class"/>
    <tableColumn id="257" name="A_HYS_AREA_ABS_class"/>
    <tableColumn id="258" name="A_HB_K_RATIO_class"/>
    <tableColumn id="259" name="A_HB_N_DIFF_class"/>
    <tableColumn id="260" name="A_HB_TAUY_UP_COMMON_class"/>
    <tableColumn id="261" name="A_HB_K_UP_COMMON_class"/>
    <tableColumn id="262" name="A_HB_N_UP_COMMON_class"/>
    <tableColumn id="263" name="A_HB_R2_UP_COMMON_class"/>
    <tableColumn id="264" name="A_HB_TAUY_DN_COMMON_class"/>
    <tableColumn id="265" name="A_HB_K_DN_COMMON_class"/>
    <tableColumn id="266" name="A_HB_N_DN_COMMON_class"/>
    <tableColumn id="267" name="A_HB_R2_DN_COMMON_class"/>
    <tableColumn id="268" name="A_HB_TAUY_RATIO_COMMON_class"/>
    <tableColumn id="269" name="A_STARTUP_PLATEAU_UP_class"/>
    <tableColumn id="270" name="A_POST_SHEAR_PLATEAU_class"/>
    <tableColumn id="271" name="A_PLATEAU_RETENTION_class"/>
    <tableColumn id="272" name="A_TQ_L_class"/>
    <tableColumn id="273" name="A_RES_L_class"/>
    <tableColumn id="274" name="A_DUL_FLOOR_class"/>
    <tableColumn id="275" name="A_EQ_DRIFT_MAX_class"/>
    <tableColumn id="276" name="A_TEMP_MEAN_class"/>
    <tableColumn id="277" name="A_TEMP_SPAN_class"/>
    <tableColumn id="278" name="A_N_QUANT_clas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A_Rep_EXC" displayName="A_Rep_EXC" ref="B5:BF6" headerRowCount="1">
  <autoFilter ref="B5:BF6"/>
  <tableColumns count="57">
    <tableColumn id="2" name="lot"/>
    <tableColumn id="3" name="repeat"/>
    <tableColumn id="4" name="file"/>
    <tableColumn id="5" name="test_start"/>
    <tableColumn id="6" name="route"/>
    <tableColumn id="7" name="data_qc"/>
    <tableColumn id="8" name="A_TAU_L_UP"/>
    <tableColumn id="9" name="A_TAU_M_UP"/>
    <tableColumn id="10" name="A_TAU_H_UP"/>
    <tableColumn id="11" name="A_SSI_FIELD_0P2_2"/>
    <tableColumn id="12" name="A_SSI_QC_0P5_5"/>
    <tableColumn id="13" name="A_DU_L"/>
    <tableColumn id="14" name="A_DU_M"/>
    <tableColumn id="15" name="A_HYS_REL"/>
    <tableColumn id="16" name="A_BRK_PEAK"/>
    <tableColumn id="17" name="A_HB_TAUY_UP"/>
    <tableColumn id="18" name="A_HB_K_UP"/>
    <tableColumn id="19" name="A_HB_N_UP"/>
    <tableColumn id="20" name="A_HB_R2_UP"/>
    <tableColumn id="21" name="A_HB_R2_DN"/>
    <tableColumn id="22" name="A_HB_TAUY_DN"/>
    <tableColumn id="23" name="A_HB_K_DN"/>
    <tableColumn id="24" name="A_HB_N_DN"/>
    <tableColumn id="25" name="A_HB_TAUY_RATIO"/>
    <tableColumn id="26" name="A_HDI"/>
    <tableColumn id="27" name="A_OVS_L"/>
    <tableColumn id="28" name="A_HB_GRANGE"/>
    <tableColumn id="29" name="A_ETA_MIN_UP"/>
    <tableColumn id="30" name="A_ETA_HIGH"/>
    <tableColumn id="31" name="A_ETA_LOW_DN"/>
    <tableColumn id="32" name="A_STATIC_YIELD_APPROX_UP"/>
    <tableColumn id="33" name="A_POST_SHEAR_STARTUP_STRESS"/>
    <tableColumn id="34" name="A_POST_SHEAR_STRESS_RETENTION"/>
    <tableColumn id="35" name="A_ETA_RECOVERY_LOW"/>
    <tableColumn id="36" name="A_HYS_AREA_SIGNED"/>
    <tableColumn id="37" name="A_HYS_AREA_ABS"/>
    <tableColumn id="38" name="A_HB_K_RATIO"/>
    <tableColumn id="39" name="A_HB_N_DIFF"/>
    <tableColumn id="40" name="A_HB_TAUY_UP_COMMON"/>
    <tableColumn id="41" name="A_HB_K_UP_COMMON"/>
    <tableColumn id="42" name="A_HB_N_UP_COMMON"/>
    <tableColumn id="43" name="A_HB_R2_UP_COMMON"/>
    <tableColumn id="44" name="A_HB_TAUY_DN_COMMON"/>
    <tableColumn id="45" name="A_HB_K_DN_COMMON"/>
    <tableColumn id="46" name="A_HB_N_DN_COMMON"/>
    <tableColumn id="47" name="A_HB_R2_DN_COMMON"/>
    <tableColumn id="48" name="A_HB_TAUY_RATIO_COMMON"/>
    <tableColumn id="49" name="A_STARTUP_PLATEAU_UP"/>
    <tableColumn id="50" name="A_POST_SHEAR_PLATEAU"/>
    <tableColumn id="51" name="A_PLATEAU_RETENTION"/>
    <tableColumn id="52" name="A_TQ_L"/>
    <tableColumn id="53" name="A_RES_L"/>
    <tableColumn id="54" name="A_DUL_FLOOR"/>
    <tableColumn id="55" name="A_EQ_DRIFT_MAX"/>
    <tableColumn id="56" name="A_TEMP_MEAN"/>
    <tableColumn id="57" name="A_TEMP_SPAN"/>
    <tableColumn id="58" name="A_N_QUA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AStepRep" displayName="AStepRep" ref="B5:Q15" headerRowCount="1">
  <autoFilter ref="B5:Q15"/>
  <tableColumns count="16">
    <tableColumn id="2" name="repeat"/>
    <tableColumn id="3" name="Step"/>
    <tableColumn id="4" name="dir"/>
    <tableColumn id="5" name="RPM"/>
    <tableColumn id="6" name="gamma"/>
    <tableColumn id="7" name="hold_s"/>
    <tableColumn id="8" name="used"/>
    <tableColumn id="9" name="exception"/>
    <tableColumn id="10" name="tau_Pa"/>
    <tableColumn id="11" name="eta_cP"/>
    <tableColumn id="12" name="torque_valid"/>
    <tableColumn id="13" name="torque_window"/>
    <tableColumn id="14" name="temp"/>
    <tableColumn id="15" name="tail_drift_pct"/>
    <tableColumn id="16" name="resolution_pct"/>
    <tableColumn id="17" name="statu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AStepStat" displayName="AStepStat" ref="B5:M15" headerRowCount="1">
  <autoFilter ref="B5:M15"/>
  <tableColumns count="12">
    <tableColumn id="2" name="dir"/>
    <tableColumn id="3" name="RPM"/>
    <tableColumn id="4" name="gamma"/>
    <tableColumn id="5" name="n_rep"/>
    <tableColumn id="6" name="tau_mean"/>
    <tableColumn id="7" name="tau_SD"/>
    <tableColumn id="8" name="tau_RSD_pct"/>
    <tableColumn id="9" name="eta_mean"/>
    <tableColumn id="10" name="torque_mean"/>
    <tableColumn id="11" name="drift_max_abs"/>
    <tableColumn id="12" name="resolution_pct"/>
    <tableColumn id="13" name="exception_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Flags" displayName="Flags" ref="B5:G37" headerRowCount="1">
  <autoFilter ref="B5:G37"/>
  <tableColumns count="6">
    <tableColumn id="2" name="method"/>
    <tableColumn id="3" name="repeat"/>
    <tableColumn id="4" name="file"/>
    <tableColumn id="5" name="item"/>
    <tableColumn id="6" name="status"/>
    <tableColumn id="7" name="reaso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race" displayName="Trace" ref="B18:J19" headerRowCount="1">
  <autoFilter ref="B18:J19"/>
  <tableColumns count="9">
    <tableColumn id="2" name="method"/>
    <tableColumn id="3" name="repeat"/>
    <tableColumn id="4" name="file"/>
    <tableColumn id="5" name="route"/>
    <tableColumn id="6" name="data_qc"/>
    <tableColumn id="7" name="raw_sha256"/>
    <tableColumn id="8" name="template"/>
    <tableColumn id="9" name="report"/>
    <tableColumn id="10" name="exception_step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DecadeSSI" displayName="DecadeSSI" ref="B5:AA9" headerRowCount="1">
  <autoFilter ref="B5:AA9"/>
  <tableColumns count="26">
    <tableColumn id="2" name="Lot"/>
    <tableColumn id="3" name="Repeat"/>
    <tableColumn id="4" name="Channel"/>
    <tableColumn id="5" name="Direction"/>
    <tableColumn id="6" name="Pair ID"/>
    <tableColumn id="7" name="Official metric link"/>
    <tableColumn id="8" name="Low RPM"/>
    <tableColumn id="9" name="High RPM"/>
    <tableColumn id="10" name="RPM ratio"/>
    <tableColumn id="11" name="Ratio error %"/>
    <tableColumn id="12" name="Low Step"/>
    <tableColumn id="13" name="High Step"/>
    <tableColumn id="14" name="Low shear rate"/>
    <tableColumn id="15" name="High shear rate"/>
    <tableColumn id="16" name="Low viscosity"/>
    <tableColumn id="17" name="High viscosity"/>
    <tableColumn id="18" name="SSI"/>
    <tableColumn id="19" name="Source type"/>
    <tableColumn id="20" name="Value class"/>
    <tableColumn id="21" name="Data status"/>
    <tableColumn id="22" name="Acceptance status"/>
    <tableColumn id="23" name="Included in Lot stats"/>
    <tableColumn id="24" name="Lot-stat exclusion reason"/>
    <tableColumn id="25" name="Primary pair selected"/>
    <tableColumn id="26" name="Selection reason"/>
    <tableColumn id="27" name="Reas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5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W9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7" customWidth="1" min="2" max="2"/>
    <col width="16" customWidth="1" min="3" max="3"/>
    <col width="12" customWidth="1" min="4" max="4"/>
    <col width="28" customWidth="1" min="5" max="5"/>
    <col width="40" customWidth="1" min="6" max="6"/>
    <col width="6" customWidth="1" min="7" max="7"/>
    <col width="12" customWidth="1" min="8" max="8"/>
    <col width="12" customWidth="1" min="9" max="9"/>
    <col width="11" customWidth="1" min="10" max="10"/>
    <col width="12" customWidth="1" min="11" max="11"/>
    <col width="11" customWidth="1" min="12" max="12"/>
    <col width="11" customWidth="1" min="13" max="13"/>
    <col width="11" customWidth="1" min="14" max="14"/>
    <col width="12" customWidth="1" min="15" max="15"/>
    <col width="10" customWidth="1" min="16" max="16"/>
    <col width="12" customWidth="1" min="17" max="17"/>
    <col width="8" customWidth="1" min="18" max="18"/>
    <col width="8" customWidth="1" min="19" max="19"/>
    <col width="14" customWidth="1" min="20" max="20"/>
    <col width="14" customWidth="1" min="21" max="21"/>
    <col width="14" customWidth="1" min="22" max="22"/>
    <col width="8" customWidth="1" min="23" max="23"/>
    <col width="8" customWidth="1" min="24" max="24"/>
    <col width="12" customWidth="1" min="25" max="25"/>
    <col width="28" customWidth="1" min="26" max="26"/>
    <col width="18" customWidth="1" min="27" max="27"/>
    <col width="28" customWidth="1" min="28" max="28"/>
    <col width="14" customWidth="1" min="29" max="29"/>
    <col width="14" customWidth="1" min="30" max="30"/>
    <col width="14" customWidth="1" min="31" max="31"/>
    <col width="16" customWidth="1" min="32" max="32"/>
    <col width="16" customWidth="1" min="33" max="33"/>
    <col width="16" customWidth="1" min="34" max="34"/>
    <col width="4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24" customWidth="1" min="46" max="46"/>
    <col width="12" customWidth="1" min="47" max="47"/>
    <col width="12" customWidth="1" min="48" max="48"/>
    <col width="72" customWidth="1" min="49" max="49"/>
  </cols>
  <sheetData>
    <row r="1">
      <c r="B1" s="1" t="inlineStr">
        <is>
          <t>Lot_QC_Summary</t>
        </is>
      </c>
      <c r="C1" s="1" t="inlineStr">
        <is>
          <t>QC_Dictionary</t>
        </is>
      </c>
      <c r="D1" s="1" t="inlineStr">
        <is>
          <t>A_Replicates</t>
        </is>
      </c>
      <c r="E1" s="1" t="inlineStr">
        <is>
          <t>B_Replicates</t>
        </is>
      </c>
      <c r="F1" s="1" t="inlineStr">
        <is>
          <t>Density_Replicates</t>
        </is>
      </c>
      <c r="G1" s="1" t="inlineStr">
        <is>
          <t>A_Replicates_INCL</t>
        </is>
      </c>
      <c r="H1" s="1" t="inlineStr">
        <is>
          <t>A_Replicates_EXC</t>
        </is>
      </c>
      <c r="I1" s="1" t="inlineStr">
        <is>
          <t>Metric_Statistics</t>
        </is>
      </c>
      <c r="J1" s="1" t="inlineStr">
        <is>
          <t>A_Step_Replicates</t>
        </is>
      </c>
      <c r="K1" s="1" t="inlineStr">
        <is>
          <t>A_Step_Statistics</t>
        </is>
      </c>
      <c r="L1" s="1" t="inlineStr">
        <is>
          <t>Replicate_Flags</t>
        </is>
      </c>
      <c r="M1" s="1" t="inlineStr">
        <is>
          <t>Traceability</t>
        </is>
      </c>
    </row>
    <row r="2" ht="28" customHeight="1">
      <c r="B2" s="2" t="inlineStr">
        <is>
          <t>HT-SYN Lot 종합 QC — 정책 INCLUSIVE</t>
        </is>
      </c>
    </row>
    <row r="3" ht="30" customHeight="1">
      <c r="B3" s="3" t="inlineStr">
        <is>
          <t>Method A fingerprint·구조 이력, Method B 회복, 밀도를 Lot 단위로 통합했습니다. Strict = 60 s·Torque 10–95 % / Inclusive = 정책 허용 hold·범위 밖 점 포함. 상태는 데이터 품질 판정이며 제품 적합성(합격/불합격) 판정이 아닙니다.</t>
        </is>
      </c>
    </row>
    <row r="4" ht="30" customHeight="1">
      <c r="B4" s="4" t="inlineStr">
        <is>
          <t>POLICY INCLUSIVE — accepted holds 30,45,60 s, 범위 밖 Torque 점 inclusive 포함. EXCEPTION·CENSORED 값은 표준 60 s Lot 통계·추세·규격 설정에 혼용 금지</t>
        </is>
      </c>
    </row>
    <row r="5" ht="21" customHeight="1">
      <c r="B5" s="5" t="inlineStr">
        <is>
          <t>Lot 정보 및 데이터 범위</t>
        </is>
      </c>
    </row>
    <row r="6">
      <c r="B6" s="6" t="inlineStr">
        <is>
          <t>Lot</t>
        </is>
      </c>
      <c r="C6" s="7" t="inlineStr">
        <is>
          <t>SYN</t>
        </is>
      </c>
    </row>
    <row r="7">
      <c r="B7" s="6" t="inlineStr">
        <is>
          <t>분석 정책</t>
        </is>
      </c>
      <c r="C7" s="7" t="inlineStr">
        <is>
          <t>INCLUSIVE (hash 0a7fe4fd8ee0395a) | Lot 통계 모드 both | 대표 채널 inclusive | EXCEPTION separate | 상세 QCPolicy 시트</t>
        </is>
      </c>
    </row>
    <row r="8">
      <c r="B8" s="6" t="inlineStr">
        <is>
          <t>Method A 반복</t>
        </is>
      </c>
      <c r="C8" s="7" t="inlineStr">
        <is>
          <t>1건 — 01:VALID</t>
        </is>
      </c>
    </row>
    <row r="9">
      <c r="B9" s="6" t="inlineStr">
        <is>
          <t>Method B 반복</t>
        </is>
      </c>
      <c r="C9" s="7" t="inlineStr">
        <is>
          <t>없음 — T2 회복 지표 NO DATA</t>
        </is>
      </c>
    </row>
    <row r="10">
      <c r="B10" s="6" t="inlineStr">
        <is>
          <t>밀도 충전</t>
        </is>
      </c>
      <c r="C10" s="7" t="inlineStr">
        <is>
          <t>없음 — 밀도 입력 파일(--density-file) 미제공</t>
        </is>
      </c>
    </row>
    <row r="11">
      <c r="B11" s="6" t="inlineStr">
        <is>
          <t>고정 평가점</t>
        </is>
      </c>
      <c r="C11" s="7" t="inlineStr">
        <is>
          <t>Low=0.5 rpm, Mid=2 rpm</t>
        </is>
      </c>
    </row>
    <row r="12">
      <c r="B12" s="6" t="inlineStr">
        <is>
          <t>고전단 평가점</t>
        </is>
      </c>
      <c r="C12" s="7" t="inlineStr">
        <is>
          <t>각 반복의 실제 측정 최고 RPM. 그 Step이 채널에서 부적격이면 NO VALUE</t>
        </is>
      </c>
    </row>
    <row r="13">
      <c r="B13" s="6" t="inlineStr">
        <is>
          <t>현재 Lot의 측정 최고 RPM</t>
        </is>
      </c>
      <c r="C13" s="7" t="inlineStr">
        <is>
          <t>5.0 rpm</t>
        </is>
      </c>
    </row>
    <row r="14">
      <c r="B14" s="6" t="inlineStr">
        <is>
          <t>4 rpm</t>
        </is>
      </c>
      <c r="C14" s="7" t="inlineStr">
        <is>
          <t>중간 측정점; 대표 고전단 기준 아님</t>
        </is>
      </c>
    </row>
    <row r="15">
      <c r="B15" s="6" t="inlineStr">
        <is>
          <t>분석기</t>
        </is>
      </c>
      <c r="C15" s="7" t="inlineStr">
        <is>
          <t xml:space="preserve">HB-analysis-06-6 / LotQC-2.8 | 실행 </t>
        </is>
      </c>
    </row>
    <row r="16">
      <c r="B16" s="6" t="inlineStr">
        <is>
          <t>무전단 안정화</t>
        </is>
      </c>
      <c r="C16" s="7" t="inlineStr">
        <is>
          <t>존재=True | Step S1 | 목표 RPM 0 | 목표 온도 25.0 °C | 목표 600.0 s | 실제 600.0 s | 평균 온도 25.0 °C | min 25.0 / max 25.0 | sampling 1.0 s | 상태 VALID | repeat 01 | 시료 이송 중 발생한 구조 교란 회복을 위한 무전단 안정화; 유동·H-B·SSI 계산에서는 제외</t>
        </is>
      </c>
    </row>
    <row r="18" ht="21" customHeight="1">
      <c r="B18" s="5" t="inlineStr">
        <is>
          <t>지표 층위 — 무엇을 말하고 무엇을 말하지 않는가</t>
        </is>
      </c>
    </row>
    <row r="19" ht="30" customHeight="1">
      <c r="B19" s="6" t="inlineStr">
        <is>
          <t>T1 Lot 동일성 핵심</t>
        </is>
      </c>
      <c r="C19" s="7" t="inlineStr">
        <is>
          <t>매 Lot 비교의 1차 fingerprint. 조성·원료·혼합·탈포 편차를 가장 직접적으로 반영하며, 측정 정밀도가 확보된 직접 관측값 위주로 구성.</t>
        </is>
      </c>
    </row>
    <row r="20" ht="30" customHeight="1">
      <c r="B20" s="6" t="inlineStr">
        <is>
          <t>T2 구조 이력·회복</t>
        </is>
      </c>
      <c r="C20" s="7" t="inlineStr">
        <is>
          <t>전단 이력에 대한 구조 붕괴와 재형성(요변성의 시간 측면). 원심 중 유동화와 원심 후 장벽 재겔화의 간접 지표.</t>
        </is>
      </c>
    </row>
    <row r="21" ht="30" customHeight="1">
      <c r="B21" s="6" t="inlineStr">
        <is>
          <t>T3 모델·진단</t>
        </is>
      </c>
      <c r="C21" s="7" t="inlineStr">
        <is>
          <t>모델 외삽·파라미터 상관이 있는 파생값과 진단값. 개발·변경관리·이상조사용이며 기능 상관 검증 전 규격 사용 금지.</t>
        </is>
      </c>
    </row>
    <row r="22" ht="30" customHeight="1">
      <c r="B22" s="6" t="inlineStr">
        <is>
          <t>DQ 데이터 품질</t>
        </is>
      </c>
      <c r="C22" s="7" t="inlineStr">
        <is>
          <t>측정 자체의 유효성(신호 크기·분해능·준평형·온도·정량 Step 수). 물성이 아니라 해당 Lot 값의 신뢰도를 말함.</t>
        </is>
      </c>
    </row>
    <row r="23" ht="21" customHeight="1">
      <c r="B23" s="5" t="inlineStr">
        <is>
          <t>지표별 Lot 통계 (숫자 열은 Metric_Statistics 수식 참조; 상태·사유는 Python 판정)</t>
        </is>
      </c>
    </row>
    <row r="24" ht="28" customHeight="1">
      <c r="B24" s="8" t="inlineStr">
        <is>
          <t>층위</t>
        </is>
      </c>
      <c r="C24" s="8" t="inlineStr">
        <is>
          <t>Code</t>
        </is>
      </c>
      <c r="D24" s="8" t="inlineStr">
        <is>
          <t>Role</t>
        </is>
      </c>
      <c r="E24" s="8" t="inlineStr">
        <is>
          <t>지표</t>
        </is>
      </c>
      <c r="F24" s="8" t="inlineStr">
        <is>
          <t>가리키는 물성</t>
        </is>
      </c>
      <c r="G24" s="8" t="inlineStr">
        <is>
          <t>단위</t>
        </is>
      </c>
      <c r="H24" s="8" t="inlineStr">
        <is>
          <t>유효 n / 전체</t>
        </is>
      </c>
      <c r="I24" s="8" t="inlineStr">
        <is>
          <t>Mean</t>
        </is>
      </c>
      <c r="J24" s="8" t="inlineStr">
        <is>
          <t>SD</t>
        </is>
      </c>
      <c r="K24" s="8" t="inlineStr">
        <is>
          <t>RSD(%)</t>
        </is>
      </c>
      <c r="L24" s="8" t="inlineStr">
        <is>
          <t>Min</t>
        </is>
      </c>
      <c r="M24" s="8" t="inlineStr">
        <is>
          <t>Max</t>
        </is>
      </c>
      <c r="N24" s="8" t="inlineStr">
        <is>
          <t>Range</t>
        </is>
      </c>
      <c r="O24" s="8" t="inlineStr">
        <is>
          <t>Mean |SD|</t>
        </is>
      </c>
      <c r="P24" s="8" t="inlineStr">
        <is>
          <t>부호 +/−</t>
        </is>
      </c>
      <c r="Q24" s="8" t="inlineStr">
        <is>
          <t>대표 채널</t>
        </is>
      </c>
      <c r="R24" s="8" t="inlineStr">
        <is>
          <t>n EXC</t>
        </is>
      </c>
      <c r="S24" s="8" t="inlineStr">
        <is>
          <t>n CENS</t>
        </is>
      </c>
      <c r="T24" s="8" t="inlineStr">
        <is>
          <t>n Low-TQ Ref</t>
        </is>
      </c>
      <c r="U24" s="8" t="inlineStr">
        <is>
          <t>n High-TQ Ref</t>
        </is>
      </c>
      <c r="V24" s="8" t="inlineStr">
        <is>
          <t>반복성 규칙(임시)</t>
        </is>
      </c>
      <c r="W24" s="8" t="inlineStr">
        <is>
          <t>GOOD ≤</t>
        </is>
      </c>
      <c r="X24" s="8" t="inlineStr">
        <is>
          <t>REVIEW ≤</t>
        </is>
      </c>
      <c r="Y24" s="8" t="inlineStr">
        <is>
          <t>반복성 상태</t>
        </is>
      </c>
      <c r="Z24" s="8" t="inlineStr">
        <is>
          <t>적용 RPM</t>
        </is>
      </c>
      <c r="AA24" s="8" t="inlineStr">
        <is>
          <t>적용 shear rate</t>
        </is>
      </c>
      <c r="AB24" s="8" t="inlineStr">
        <is>
          <t>기여 Step</t>
        </is>
      </c>
      <c r="AC24" s="8" t="inlineStr">
        <is>
          <t>적용 저점 RPM</t>
        </is>
      </c>
      <c r="AD24" s="8" t="inlineStr">
        <is>
          <t>적용 고점 RPM</t>
        </is>
      </c>
      <c r="AE24" s="8" t="inlineStr">
        <is>
          <t>적용 저점 Step</t>
        </is>
      </c>
      <c r="AF24" s="8" t="inlineStr">
        <is>
          <t>적용 고점 Step</t>
        </is>
      </c>
      <c r="AG24" s="8" t="inlineStr">
        <is>
          <t>적용 저점 shear rate</t>
        </is>
      </c>
      <c r="AH24" s="8" t="inlineStr">
        <is>
          <t>적용 고점 shear rate</t>
        </is>
      </c>
      <c r="AI24" s="8" t="inlineStr">
        <is>
          <t>선택 규칙</t>
        </is>
      </c>
      <c r="AJ24" s="8" t="inlineStr">
        <is>
          <t>분자 RPM</t>
        </is>
      </c>
      <c r="AK24" s="8" t="inlineStr">
        <is>
          <t>분모 RPM</t>
        </is>
      </c>
      <c r="AL24" s="8" t="inlineStr">
        <is>
          <t>분자 Step</t>
        </is>
      </c>
      <c r="AM24" s="8" t="inlineStr">
        <is>
          <t>분모 Step</t>
        </is>
      </c>
      <c r="AN24" s="8" t="inlineStr">
        <is>
          <t>분자 shear rate</t>
        </is>
      </c>
      <c r="AO24" s="8" t="inlineStr">
        <is>
          <t>분모 shear rate</t>
        </is>
      </c>
      <c r="AP24" s="8" t="inlineStr">
        <is>
          <t>실제 RPM 배율</t>
        </is>
      </c>
      <c r="AQ24" s="8" t="inlineStr">
        <is>
          <t>source type</t>
        </is>
      </c>
      <c r="AR24" s="8" t="inlineStr">
        <is>
          <t>Included in Lot stats</t>
        </is>
      </c>
      <c r="AS24" s="8" t="inlineStr">
        <is>
          <t>Lot-stat exclusion reason</t>
        </is>
      </c>
      <c r="AT24" s="8" t="inlineStr">
        <is>
          <t>값 상태</t>
        </is>
      </c>
      <c r="AU24" s="8" t="inlineStr">
        <is>
          <t>데이터 상태</t>
        </is>
      </c>
      <c r="AV24" s="8" t="inlineStr">
        <is>
          <t>합격성 반영</t>
        </is>
      </c>
      <c r="AW24" s="8" t="inlineStr">
        <is>
          <t>비고·제외 근거(반복)</t>
        </is>
      </c>
    </row>
    <row r="25" ht="46.5" customHeight="1">
      <c r="B25" s="9" t="inlineStr">
        <is>
          <t>T1 Lot 동일성 핵심</t>
        </is>
      </c>
      <c r="C25" s="9" t="inlineStr">
        <is>
          <t>A_TAU_L_UP</t>
        </is>
      </c>
      <c r="D25" s="9" t="inlineStr">
        <is>
          <t>CORE</t>
        </is>
      </c>
      <c r="E25" s="9" t="inlineStr">
        <is>
          <t>저전단 구조 저항 τ↑(0.5 rpm)</t>
        </is>
      </c>
      <c r="F25" s="9" t="inlineStr">
        <is>
          <t>휴지 중 형성된 실리카·겔화제 네트워크가 최저 정량 전단에서 흐름에 저항하는 크기(저전단 구조강도의 상대값).</t>
        </is>
      </c>
      <c r="G25" s="9" t="inlineStr">
        <is>
          <t>Pa</t>
        </is>
      </c>
      <c r="H25" s="9" t="inlineStr">
        <is>
          <t>1 / 1</t>
        </is>
      </c>
      <c r="I25" s="10" t="n">
        <v>200</v>
      </c>
      <c r="J25" s="10" t="n">
        <v/>
      </c>
      <c r="K25" s="10" t="inlineStr"/>
      <c r="L25" s="10" t="n">
        <v>200</v>
      </c>
      <c r="M25" s="10" t="n">
        <v>200</v>
      </c>
      <c r="N25" s="10" t="n">
        <v>0</v>
      </c>
      <c r="O25" s="10" t="n">
        <v>200</v>
      </c>
      <c r="P25" s="9" t="inlineStr">
        <is>
          <t>+1/−0</t>
        </is>
      </c>
      <c r="Q25" s="9" t="inlineStr">
        <is>
          <t>INCLUSIVE</t>
        </is>
      </c>
      <c r="R25" s="9" t="n">
        <v>0</v>
      </c>
      <c r="S25" s="9" t="n">
        <v>0</v>
      </c>
      <c r="T25" s="9" t="n">
        <v>0</v>
      </c>
      <c r="U25" s="9" t="n">
        <v>0</v>
      </c>
      <c r="V25" s="9" t="inlineStr">
        <is>
          <t>RSD</t>
        </is>
      </c>
      <c r="W25" s="9" t="n">
        <v>10</v>
      </c>
      <c r="X25" s="9" t="n">
        <v>20</v>
      </c>
      <c r="Y25" s="11">
        <f>IF(OR(V25="-",H25&lt;2),"N/A",IF(V25="RSD",IF(ISNUMBER(K25),IF(K25&lt;=W25,"GOOD",IF(K25&lt;=X25,"REVIEW","HIGH VAR")),"HIGH VAR"),IF(J25&lt;=W25,"GOOD",IF(J25&lt;=X25,"REVIEW","HIGH VAR"))))</f>
        <v/>
      </c>
      <c r="Z25" s="9" t="inlineStr">
        <is>
          <t>0.5</t>
        </is>
      </c>
      <c r="AA25" s="9" t="inlineStr">
        <is>
          <t>1</t>
        </is>
      </c>
      <c r="AB25" s="9" t="inlineStr">
        <is>
          <t>S4</t>
        </is>
      </c>
      <c r="AC25" s="10" t="n">
        <v>0.5</v>
      </c>
      <c r="AD25" s="9" t="inlineStr"/>
      <c r="AE25" s="9" t="inlineStr">
        <is>
          <t>S4</t>
        </is>
      </c>
      <c r="AF25" s="9" t="inlineStr"/>
      <c r="AG25" s="10" t="n">
        <v>1</v>
      </c>
      <c r="AH25" s="9" t="inlineStr"/>
      <c r="AI25" s="9" t="inlineStr">
        <is>
          <t>fixed low reference 0.5 rpm</t>
        </is>
      </c>
      <c r="AJ25" s="9" t="inlineStr"/>
      <c r="AK25" s="9" t="inlineStr"/>
      <c r="AL25" s="9" t="inlineStr"/>
      <c r="AM25" s="9" t="inlineStr"/>
      <c r="AN25" s="9" t="inlineStr"/>
      <c r="AO25" s="9" t="inlineStr"/>
      <c r="AP25" s="9" t="inlineStr"/>
      <c r="AQ25" s="9" t="inlineStr"/>
      <c r="AR25" s="9" t="inlineStr">
        <is>
          <t>Yes</t>
        </is>
      </c>
      <c r="AS25" s="9" t="inlineStr"/>
      <c r="AT25" s="11" t="inlineStr">
        <is>
          <t>strict 정량값</t>
        </is>
      </c>
      <c r="AU25" s="11" t="inlineStr">
        <is>
          <t>VALID</t>
        </is>
      </c>
      <c r="AV25" s="11" t="inlineStr">
        <is>
          <t>ELIGIBLE</t>
        </is>
      </c>
      <c r="AW25" s="12" t="inlineStr">
        <is>
          <t>INCLUSIVE | strict 정량값 | 60 s hold, Torque 10–95% 범위 내 | Steps S4 | RPM 0.5 | γ̇ 1 | fixed low reference 0.5 rpm</t>
        </is>
      </c>
    </row>
    <row r="26" ht="46.5" customHeight="1">
      <c r="B26" s="9" t="inlineStr">
        <is>
          <t>T1 Lot 동일성 핵심</t>
        </is>
      </c>
      <c r="C26" s="9" t="inlineStr">
        <is>
          <t>A_TAU_M_UP</t>
        </is>
      </c>
      <c r="D26" s="9" t="inlineStr">
        <is>
          <t>CORE</t>
        </is>
      </c>
      <c r="E26" s="9" t="inlineStr">
        <is>
          <t>중간 전단 유동 저항 τ↑(2 rpm)</t>
        </is>
      </c>
      <c r="F26" s="9" t="inlineStr">
        <is>
          <t>구조 일부가 전단으로 해체된 상태의 유동 저항. 측정창 중 Torque 여유가 커 반복 정밀도가 가장 좋은 기준점.</t>
        </is>
      </c>
      <c r="G26" s="9" t="inlineStr">
        <is>
          <t>Pa</t>
        </is>
      </c>
      <c r="H26" s="9" t="inlineStr">
        <is>
          <t>1 / 1</t>
        </is>
      </c>
      <c r="I26" s="10" t="n">
        <v>200</v>
      </c>
      <c r="J26" s="10" t="n">
        <v/>
      </c>
      <c r="K26" s="10" t="inlineStr"/>
      <c r="L26" s="10" t="n">
        <v>200</v>
      </c>
      <c r="M26" s="10" t="n">
        <v>200</v>
      </c>
      <c r="N26" s="10" t="n">
        <v>0</v>
      </c>
      <c r="O26" s="10" t="n">
        <v>200</v>
      </c>
      <c r="P26" s="9" t="inlineStr">
        <is>
          <t>+1/−0</t>
        </is>
      </c>
      <c r="Q26" s="9" t="inlineStr">
        <is>
          <t>INCLUSIVE</t>
        </is>
      </c>
      <c r="R26" s="9" t="n">
        <v>0</v>
      </c>
      <c r="S26" s="9" t="n">
        <v>0</v>
      </c>
      <c r="T26" s="9" t="n">
        <v>0</v>
      </c>
      <c r="U26" s="9" t="n">
        <v>0</v>
      </c>
      <c r="V26" s="9" t="inlineStr">
        <is>
          <t>RSD</t>
        </is>
      </c>
      <c r="W26" s="9" t="n">
        <v>10</v>
      </c>
      <c r="X26" s="9" t="n">
        <v>20</v>
      </c>
      <c r="Y26" s="11">
        <f>IF(OR(V26="-",H26&lt;2),"N/A",IF(V26="RSD",IF(ISNUMBER(K26),IF(K26&lt;=W26,"GOOD",IF(K26&lt;=X26,"REVIEW","HIGH VAR")),"HIGH VAR"),IF(J26&lt;=W26,"GOOD",IF(J26&lt;=X26,"REVIEW","HIGH VAR"))))</f>
        <v/>
      </c>
      <c r="Z26" s="9" t="inlineStr">
        <is>
          <t>2.0</t>
        </is>
      </c>
      <c r="AA26" s="9" t="inlineStr">
        <is>
          <t>4</t>
        </is>
      </c>
      <c r="AB26" s="9" t="inlineStr">
        <is>
          <t>S8</t>
        </is>
      </c>
      <c r="AC26" s="9" t="inlineStr"/>
      <c r="AD26" s="9" t="inlineStr"/>
      <c r="AE26" s="9" t="inlineStr"/>
      <c r="AF26" s="9" t="inlineStr"/>
      <c r="AG26" s="9" t="inlineStr"/>
      <c r="AH26" s="9" t="inlineStr"/>
      <c r="AI26" s="9" t="inlineStr">
        <is>
          <t>fixed mid reference 2.0 rpm</t>
        </is>
      </c>
      <c r="AJ26" s="9" t="inlineStr"/>
      <c r="AK26" s="9" t="inlineStr"/>
      <c r="AL26" s="9" t="inlineStr"/>
      <c r="AM26" s="9" t="inlineStr"/>
      <c r="AN26" s="9" t="inlineStr"/>
      <c r="AO26" s="9" t="inlineStr"/>
      <c r="AP26" s="9" t="inlineStr"/>
      <c r="AQ26" s="9" t="inlineStr"/>
      <c r="AR26" s="9" t="inlineStr">
        <is>
          <t>Yes</t>
        </is>
      </c>
      <c r="AS26" s="9" t="inlineStr"/>
      <c r="AT26" s="11" t="inlineStr">
        <is>
          <t>strict 정량값</t>
        </is>
      </c>
      <c r="AU26" s="11" t="inlineStr">
        <is>
          <t>VALID</t>
        </is>
      </c>
      <c r="AV26" s="11" t="inlineStr">
        <is>
          <t>ELIGIBLE</t>
        </is>
      </c>
      <c r="AW26" s="12" t="inlineStr">
        <is>
          <t>INCLUSIVE | strict 정량값 | 60 s hold, Torque 10–95% 범위 내 | Steps S8 | RPM 2.0 | γ̇ 4 | fixed mid reference 2.0 rpm</t>
        </is>
      </c>
    </row>
    <row r="27" ht="62" customHeight="1">
      <c r="B27" s="9" t="inlineStr">
        <is>
          <t>T1 Lot 동일성 핵심</t>
        </is>
      </c>
      <c r="C27" s="9" t="inlineStr">
        <is>
          <t>A_TAU_H_UP</t>
        </is>
      </c>
      <c r="D27" s="9" t="inlineStr">
        <is>
          <t>CORE</t>
        </is>
      </c>
      <c r="E27" s="9" t="inlineStr">
        <is>
          <t>고전단 유동 저항 (실제 최고 RPM)</t>
        </is>
      </c>
      <c r="F27" s="9" t="inlineStr">
        <is>
          <t>그 측정에서 실제로 도달한 최고 전단의 유동 저항.</t>
        </is>
      </c>
      <c r="G27" s="9" t="inlineStr">
        <is>
          <t>Pa</t>
        </is>
      </c>
      <c r="H27" s="9" t="inlineStr">
        <is>
          <t>1 / 1</t>
        </is>
      </c>
      <c r="I27" s="10" t="n">
        <v>200</v>
      </c>
      <c r="J27" s="10" t="n">
        <v/>
      </c>
      <c r="K27" s="10" t="inlineStr"/>
      <c r="L27" s="10" t="n">
        <v>200</v>
      </c>
      <c r="M27" s="10" t="n">
        <v>200</v>
      </c>
      <c r="N27" s="10" t="n">
        <v>0</v>
      </c>
      <c r="O27" s="10" t="n">
        <v>200</v>
      </c>
      <c r="P27" s="9" t="inlineStr">
        <is>
          <t>+1/−0</t>
        </is>
      </c>
      <c r="Q27" s="9" t="inlineStr">
        <is>
          <t>INCLUSIVE</t>
        </is>
      </c>
      <c r="R27" s="9" t="n">
        <v>0</v>
      </c>
      <c r="S27" s="9" t="n">
        <v>0</v>
      </c>
      <c r="T27" s="9" t="n">
        <v>0</v>
      </c>
      <c r="U27" s="9" t="n">
        <v>0</v>
      </c>
      <c r="V27" s="9" t="inlineStr">
        <is>
          <t>RSD</t>
        </is>
      </c>
      <c r="W27" s="9" t="n">
        <v>10</v>
      </c>
      <c r="X27" s="9" t="n">
        <v>20</v>
      </c>
      <c r="Y27" s="11">
        <f>IF(OR(V27="-",H27&lt;2),"N/A",IF(V27="RSD",IF(ISNUMBER(K27),IF(K27&lt;=W27,"GOOD",IF(K27&lt;=X27,"REVIEW","HIGH VAR")),"HIGH VAR"),IF(J27&lt;=W27,"GOOD",IF(J27&lt;=X27,"REVIEW","HIGH VAR"))))</f>
        <v/>
      </c>
      <c r="Z27" s="9" t="inlineStr">
        <is>
          <t>5.0</t>
        </is>
      </c>
      <c r="AA27" s="9" t="inlineStr">
        <is>
          <t>10</t>
        </is>
      </c>
      <c r="AB27" s="9" t="inlineStr">
        <is>
          <t>S11</t>
        </is>
      </c>
      <c r="AC27" s="9" t="inlineStr"/>
      <c r="AD27" s="10" t="n">
        <v>5</v>
      </c>
      <c r="AE27" s="9" t="inlineStr"/>
      <c r="AF27" s="9" t="inlineStr">
        <is>
          <t>S11</t>
        </is>
      </c>
      <c r="AG27" s="9" t="inlineStr"/>
      <c r="AH27" s="10" t="n">
        <v>10</v>
      </c>
      <c r="AI27" s="9" t="inlineStr">
        <is>
          <t>actual measured maximum RPM</t>
        </is>
      </c>
      <c r="AJ27" s="9" t="inlineStr"/>
      <c r="AK27" s="9" t="inlineStr"/>
      <c r="AL27" s="9" t="inlineStr"/>
      <c r="AM27" s="9" t="inlineStr"/>
      <c r="AN27" s="9" t="inlineStr"/>
      <c r="AO27" s="9" t="inlineStr"/>
      <c r="AP27" s="9" t="inlineStr"/>
      <c r="AQ27" s="9" t="inlineStr"/>
      <c r="AR27" s="9" t="inlineStr">
        <is>
          <t>Yes</t>
        </is>
      </c>
      <c r="AS27" s="9" t="inlineStr"/>
      <c r="AT27" s="11" t="inlineStr">
        <is>
          <t>strict 정량값</t>
        </is>
      </c>
      <c r="AU27" s="11" t="inlineStr">
        <is>
          <t>VALID</t>
        </is>
      </c>
      <c r="AV27" s="11" t="inlineStr">
        <is>
          <t>ELIGIBLE</t>
        </is>
      </c>
      <c r="AW27" s="12" t="inlineStr">
        <is>
          <t>INCLUSIVE | strict 정량값 | 60 s hold, Torque 10–95% 범위 내 | Steps S11 | RPM 5.0 | γ̇ 10 | actual measured maximum RPM | [OK] 실제 최고 RPM 5.0 rpm, Step S11, shear rate 10 s⁻¹; 5.0 rpm Step S11 사용 (01)</t>
        </is>
      </c>
    </row>
    <row r="28" ht="46.5" customHeight="1">
      <c r="B28" s="9" t="inlineStr">
        <is>
          <t>T1 Lot 동일성 핵심</t>
        </is>
      </c>
      <c r="C28" s="9" t="inlineStr">
        <is>
          <t>A_ETA_MIN_UP</t>
        </is>
      </c>
      <c r="D28" s="9" t="inlineStr">
        <is>
          <t>CORE</t>
        </is>
      </c>
      <c r="E28" s="9" t="inlineStr">
        <is>
          <t>최저 측정 RPM 겉보기 점도 — 상승</t>
        </is>
      </c>
      <c r="F28" s="9" t="inlineStr">
        <is>
          <t>상승 경로에서 가장 낮은 전단의 겉보기 점도.</t>
        </is>
      </c>
      <c r="G28" s="9" t="inlineStr">
        <is>
          <t>cP</t>
        </is>
      </c>
      <c r="H28" s="9" t="inlineStr">
        <is>
          <t>1 / 1</t>
        </is>
      </c>
      <c r="I28" s="13" t="n">
        <v>500000</v>
      </c>
      <c r="J28" s="13" t="n">
        <v/>
      </c>
      <c r="K28" s="10" t="inlineStr"/>
      <c r="L28" s="13" t="n">
        <v>500000</v>
      </c>
      <c r="M28" s="13" t="n">
        <v>500000</v>
      </c>
      <c r="N28" s="13" t="n">
        <v>0</v>
      </c>
      <c r="O28" s="13" t="n">
        <v>500000</v>
      </c>
      <c r="P28" s="9" t="inlineStr">
        <is>
          <t>+1/−0</t>
        </is>
      </c>
      <c r="Q28" s="9" t="inlineStr">
        <is>
          <t>INCLUSIVE</t>
        </is>
      </c>
      <c r="R28" s="9" t="n">
        <v>0</v>
      </c>
      <c r="S28" s="9" t="n">
        <v>0</v>
      </c>
      <c r="T28" s="9" t="n">
        <v>0</v>
      </c>
      <c r="U28" s="9" t="n">
        <v>0</v>
      </c>
      <c r="V28" s="9" t="inlineStr">
        <is>
          <t>RSD</t>
        </is>
      </c>
      <c r="W28" s="9" t="n">
        <v>10</v>
      </c>
      <c r="X28" s="9" t="n">
        <v>20</v>
      </c>
      <c r="Y28" s="11">
        <f>IF(OR(V28="-",H28&lt;2),"N/A",IF(V28="RSD",IF(ISNUMBER(K28),IF(K28&lt;=W28,"GOOD",IF(K28&lt;=X28,"REVIEW","HIGH VAR")),"HIGH VAR"),IF(J28&lt;=W28,"GOOD",IF(J28&lt;=X28,"REVIEW","HIGH VAR"))))</f>
        <v/>
      </c>
      <c r="Z28" s="9" t="inlineStr">
        <is>
          <t>0.2</t>
        </is>
      </c>
      <c r="AA28" s="9" t="inlineStr">
        <is>
          <t>0.4</t>
        </is>
      </c>
      <c r="AB28" s="9" t="inlineStr">
        <is>
          <t>S2</t>
        </is>
      </c>
      <c r="AC28" s="10" t="n">
        <v>0.2</v>
      </c>
      <c r="AD28" s="9" t="inlineStr"/>
      <c r="AE28" s="9" t="inlineStr">
        <is>
          <t>S2</t>
        </is>
      </c>
      <c r="AF28" s="9" t="inlineStr"/>
      <c r="AG28" s="10" t="n">
        <v>0.4</v>
      </c>
      <c r="AH28" s="9" t="inlineStr"/>
      <c r="AI28" s="9" t="inlineStr">
        <is>
          <t>actual minimum measured eligible Up RPM; fixed low reference 0.5 rpm이 아님</t>
        </is>
      </c>
      <c r="AJ28" s="9" t="inlineStr"/>
      <c r="AK28" s="9" t="inlineStr"/>
      <c r="AL28" s="9" t="inlineStr"/>
      <c r="AM28" s="9" t="inlineStr"/>
      <c r="AN28" s="9" t="inlineStr"/>
      <c r="AO28" s="9" t="inlineStr"/>
      <c r="AP28" s="9" t="inlineStr"/>
      <c r="AQ28" s="9" t="inlineStr"/>
      <c r="AR28" s="9" t="inlineStr">
        <is>
          <t>Yes</t>
        </is>
      </c>
      <c r="AS28" s="9" t="inlineStr"/>
      <c r="AT28" s="11" t="inlineStr">
        <is>
          <t>strict 정량값</t>
        </is>
      </c>
      <c r="AU28" s="11" t="inlineStr">
        <is>
          <t>VALID</t>
        </is>
      </c>
      <c r="AV28" s="11" t="inlineStr">
        <is>
          <t>ELIGIBLE</t>
        </is>
      </c>
      <c r="AW28" s="12" t="inlineStr">
        <is>
          <t>INCLUSIVE | strict 정량값 | 60 s hold, Torque 10–95% 범위 내 | Steps S2 | RPM 0.2 | γ̇ 0.4 | actual minimum measured eligible Up RPM; fixed low reference 0.5 rpm이 아님</t>
        </is>
      </c>
    </row>
    <row r="29" ht="46.5" customHeight="1">
      <c r="B29" s="9" t="inlineStr">
        <is>
          <t>T1 Lot 동일성 핵심</t>
        </is>
      </c>
      <c r="C29" s="9" t="inlineStr">
        <is>
          <t>A_ETA_HIGH</t>
        </is>
      </c>
      <c r="D29" s="9" t="inlineStr">
        <is>
          <t>CORE</t>
        </is>
      </c>
      <c r="E29" s="9" t="inlineStr">
        <is>
          <t>고전단 겉보기 점도 (실제 최고 RPM)</t>
        </is>
      </c>
      <c r="F29" s="9" t="inlineStr">
        <is>
          <t>프로그램 최고 전단에서의 겉보기 점도.</t>
        </is>
      </c>
      <c r="G29" s="9" t="inlineStr">
        <is>
          <t>cP</t>
        </is>
      </c>
      <c r="H29" s="9" t="inlineStr">
        <is>
          <t>1 / 1</t>
        </is>
      </c>
      <c r="I29" s="13" t="n">
        <v>20000</v>
      </c>
      <c r="J29" s="13" t="n">
        <v/>
      </c>
      <c r="K29" s="10" t="inlineStr"/>
      <c r="L29" s="13" t="n">
        <v>20000</v>
      </c>
      <c r="M29" s="13" t="n">
        <v>20000</v>
      </c>
      <c r="N29" s="13" t="n">
        <v>0</v>
      </c>
      <c r="O29" s="13" t="n">
        <v>20000</v>
      </c>
      <c r="P29" s="9" t="inlineStr">
        <is>
          <t>+1/−0</t>
        </is>
      </c>
      <c r="Q29" s="9" t="inlineStr">
        <is>
          <t>INCLUSIVE</t>
        </is>
      </c>
      <c r="R29" s="9" t="n">
        <v>0</v>
      </c>
      <c r="S29" s="9" t="n">
        <v>0</v>
      </c>
      <c r="T29" s="9" t="n">
        <v>0</v>
      </c>
      <c r="U29" s="9" t="n">
        <v>0</v>
      </c>
      <c r="V29" s="9" t="inlineStr">
        <is>
          <t>RSD</t>
        </is>
      </c>
      <c r="W29" s="9" t="n">
        <v>10</v>
      </c>
      <c r="X29" s="9" t="n">
        <v>20</v>
      </c>
      <c r="Y29" s="11">
        <f>IF(OR(V29="-",H29&lt;2),"N/A",IF(V29="RSD",IF(ISNUMBER(K29),IF(K29&lt;=W29,"GOOD",IF(K29&lt;=X29,"REVIEW","HIGH VAR")),"HIGH VAR"),IF(J29&lt;=W29,"GOOD",IF(J29&lt;=X29,"REVIEW","HIGH VAR"))))</f>
        <v/>
      </c>
      <c r="Z29" s="9" t="inlineStr">
        <is>
          <t>5.0</t>
        </is>
      </c>
      <c r="AA29" s="9" t="inlineStr">
        <is>
          <t>10</t>
        </is>
      </c>
      <c r="AB29" s="9" t="inlineStr">
        <is>
          <t>S11</t>
        </is>
      </c>
      <c r="AC29" s="9" t="inlineStr"/>
      <c r="AD29" s="10" t="n">
        <v>5</v>
      </c>
      <c r="AE29" s="9" t="inlineStr"/>
      <c r="AF29" s="9" t="inlineStr">
        <is>
          <t>S11</t>
        </is>
      </c>
      <c r="AG29" s="9" t="inlineStr"/>
      <c r="AH29" s="10" t="n">
        <v>10</v>
      </c>
      <c r="AI29" s="9" t="inlineStr">
        <is>
          <t>actual measured maximum RPM</t>
        </is>
      </c>
      <c r="AJ29" s="9" t="inlineStr"/>
      <c r="AK29" s="9" t="inlineStr"/>
      <c r="AL29" s="9" t="inlineStr"/>
      <c r="AM29" s="9" t="inlineStr"/>
      <c r="AN29" s="9" t="inlineStr"/>
      <c r="AO29" s="9" t="inlineStr"/>
      <c r="AP29" s="9" t="inlineStr"/>
      <c r="AQ29" s="9" t="inlineStr"/>
      <c r="AR29" s="9" t="inlineStr">
        <is>
          <t>Yes</t>
        </is>
      </c>
      <c r="AS29" s="9" t="inlineStr"/>
      <c r="AT29" s="11" t="inlineStr">
        <is>
          <t>strict 정량값</t>
        </is>
      </c>
      <c r="AU29" s="11" t="inlineStr">
        <is>
          <t>VALID</t>
        </is>
      </c>
      <c r="AV29" s="11" t="inlineStr">
        <is>
          <t>ELIGIBLE</t>
        </is>
      </c>
      <c r="AW29" s="12" t="inlineStr">
        <is>
          <t>INCLUSIVE | strict 정량값 | 60 s hold, Torque 10–95% 범위 내 | Steps S11 | RPM 5.0 | γ̇ 10 | actual measured maximum RPM | [OK] 실제 최고 RPM 5.0 rpm, Step S11, shear rate 10 s⁻¹ (01)</t>
        </is>
      </c>
    </row>
    <row r="30" ht="62" customHeight="1">
      <c r="B30" s="9" t="inlineStr">
        <is>
          <t>T1 Lot 동일성 핵심</t>
        </is>
      </c>
      <c r="C30" s="9" t="inlineStr">
        <is>
          <t>A_SSI_FIELD_0P2_2</t>
        </is>
      </c>
      <c r="D30" s="9" t="inlineStr">
        <is>
          <t>CORE</t>
        </is>
      </c>
      <c r="E30" s="9" t="inlineStr">
        <is>
          <t>현장 SSI (0.2/2 rpm)</t>
        </is>
      </c>
      <c r="F30" s="9" t="inlineStr">
        <is>
          <t>현장 전단박화 지수. 정확한 0.2 rpm과 2.0 rpm Up 대표 점도의 비.</t>
        </is>
      </c>
      <c r="G30" s="9" t="inlineStr">
        <is>
          <t>-</t>
        </is>
      </c>
      <c r="H30" s="9" t="inlineStr">
        <is>
          <t>1 / 1</t>
        </is>
      </c>
      <c r="I30" s="14" t="n">
        <v>10</v>
      </c>
      <c r="J30" s="14" t="n">
        <v/>
      </c>
      <c r="K30" s="10" t="inlineStr"/>
      <c r="L30" s="14" t="n">
        <v>10</v>
      </c>
      <c r="M30" s="14" t="n">
        <v>10</v>
      </c>
      <c r="N30" s="14" t="n">
        <v>0</v>
      </c>
      <c r="O30" s="14" t="n">
        <v>10</v>
      </c>
      <c r="P30" s="9" t="inlineStr">
        <is>
          <t>+1/−0</t>
        </is>
      </c>
      <c r="Q30" s="9" t="inlineStr">
        <is>
          <t>INCLUSIVE</t>
        </is>
      </c>
      <c r="R30" s="9" t="n">
        <v>0</v>
      </c>
      <c r="S30" s="9" t="n">
        <v>0</v>
      </c>
      <c r="T30" s="9" t="n">
        <v>0</v>
      </c>
      <c r="U30" s="9" t="n">
        <v>0</v>
      </c>
      <c r="V30" s="9" t="inlineStr">
        <is>
          <t>RSD</t>
        </is>
      </c>
      <c r="W30" s="9" t="n">
        <v>10</v>
      </c>
      <c r="X30" s="9" t="n">
        <v>20</v>
      </c>
      <c r="Y30" s="11">
        <f>IF(OR(V30="-",H30&lt;2),"N/A",IF(V30="RSD",IF(ISNUMBER(K30),IF(K30&lt;=W30,"GOOD",IF(K30&lt;=X30,"REVIEW","HIGH VAR")),"HIGH VAR"),IF(J30&lt;=W30,"GOOD",IF(J30&lt;=X30,"REVIEW","HIGH VAR"))))</f>
        <v/>
      </c>
      <c r="Z30" s="9" t="inlineStr">
        <is>
          <t>0.2,2</t>
        </is>
      </c>
      <c r="AA30" s="9" t="inlineStr">
        <is>
          <t>0.4,4</t>
        </is>
      </c>
      <c r="AB30" s="9" t="inlineStr">
        <is>
          <t>S2,S8</t>
        </is>
      </c>
      <c r="AC30" s="10" t="n">
        <v>0.2</v>
      </c>
      <c r="AD30" s="10" t="n">
        <v>2</v>
      </c>
      <c r="AE30" s="9" t="inlineStr">
        <is>
          <t>S2</t>
        </is>
      </c>
      <c r="AF30" s="9" t="inlineStr">
        <is>
          <t>S8</t>
        </is>
      </c>
      <c r="AG30" s="9" t="inlineStr"/>
      <c r="AH30" s="9" t="inlineStr"/>
      <c r="AI30" s="9" t="inlineStr">
        <is>
          <t>exact measured Up 0.2 rpm / exact measured Up 2.0 rpm</t>
        </is>
      </c>
      <c r="AJ30" s="9" t="inlineStr">
        <is>
          <t>0.2</t>
        </is>
      </c>
      <c r="AK30" s="9" t="inlineStr">
        <is>
          <t>2.0</t>
        </is>
      </c>
      <c r="AL30" s="9" t="inlineStr">
        <is>
          <t>S2</t>
        </is>
      </c>
      <c r="AM30" s="9" t="inlineStr">
        <is>
          <t>S8</t>
        </is>
      </c>
      <c r="AN30" s="9" t="inlineStr">
        <is>
          <t>0.4</t>
        </is>
      </c>
      <c r="AO30" s="9" t="inlineStr">
        <is>
          <t>4</t>
        </is>
      </c>
      <c r="AP30" s="9" t="inlineStr">
        <is>
          <t>10</t>
        </is>
      </c>
      <c r="AQ30" s="9" t="inlineStr">
        <is>
          <t>measured</t>
        </is>
      </c>
      <c r="AR30" s="9" t="inlineStr">
        <is>
          <t>Yes</t>
        </is>
      </c>
      <c r="AS30" s="9" t="inlineStr"/>
      <c r="AT30" s="11" t="inlineStr">
        <is>
          <t>strict 정량값</t>
        </is>
      </c>
      <c r="AU30" s="11" t="inlineStr">
        <is>
          <t>VALID</t>
        </is>
      </c>
      <c r="AV30" s="11" t="inlineStr">
        <is>
          <t>ELIGIBLE</t>
        </is>
      </c>
      <c r="AW30" s="12" t="inlineStr">
        <is>
          <t>INCLUSIVE | strict 정량값 | 60 s hold, Torque 10–95% 범위 내 | Steps S2,S8 | RPM 0.2,2 | γ̇ 0.4,4 | exact measured Up 0.2 rpm / exact measured Up 2.0 rpm | [OK] eta_up(0.2 rpm, S2) / eta(2 rpm, Up endpoint S8) (01)</t>
        </is>
      </c>
    </row>
    <row r="31" ht="62" customHeight="1">
      <c r="B31" s="9" t="inlineStr">
        <is>
          <t>T1 Lot 동일성 핵심</t>
        </is>
      </c>
      <c r="C31" s="9" t="inlineStr">
        <is>
          <t>A_SSI_QC_0P5_5</t>
        </is>
      </c>
      <c r="D31" s="9" t="inlineStr">
        <is>
          <t>CORE</t>
        </is>
      </c>
      <c r="E31" s="9" t="inlineStr">
        <is>
          <t>Step-flow QC SSI (0.5/5 rpm)</t>
        </is>
      </c>
      <c r="F31" s="9" t="inlineStr">
        <is>
          <t>Step-flow QC 전단박화 지수. 정확한 0.5 rpm Up과 5.0 rpm endpoint의 비.</t>
        </is>
      </c>
      <c r="G31" s="9" t="inlineStr">
        <is>
          <t>-</t>
        </is>
      </c>
      <c r="H31" s="9" t="inlineStr">
        <is>
          <t>1 / 1</t>
        </is>
      </c>
      <c r="I31" s="14" t="n">
        <v>10</v>
      </c>
      <c r="J31" s="14" t="n">
        <v/>
      </c>
      <c r="K31" s="10" t="inlineStr"/>
      <c r="L31" s="14" t="n">
        <v>10</v>
      </c>
      <c r="M31" s="14" t="n">
        <v>10</v>
      </c>
      <c r="N31" s="14" t="n">
        <v>0</v>
      </c>
      <c r="O31" s="14" t="n">
        <v>10</v>
      </c>
      <c r="P31" s="9" t="inlineStr">
        <is>
          <t>+1/−0</t>
        </is>
      </c>
      <c r="Q31" s="9" t="inlineStr">
        <is>
          <t>INCLUSIVE</t>
        </is>
      </c>
      <c r="R31" s="9" t="n">
        <v>0</v>
      </c>
      <c r="S31" s="9" t="n">
        <v>0</v>
      </c>
      <c r="T31" s="9" t="n">
        <v>0</v>
      </c>
      <c r="U31" s="9" t="n">
        <v>0</v>
      </c>
      <c r="V31" s="9" t="inlineStr">
        <is>
          <t>RSD</t>
        </is>
      </c>
      <c r="W31" s="9" t="n">
        <v>10</v>
      </c>
      <c r="X31" s="9" t="n">
        <v>20</v>
      </c>
      <c r="Y31" s="11">
        <f>IF(OR(V31="-",H31&lt;2),"N/A",IF(V31="RSD",IF(ISNUMBER(K31),IF(K31&lt;=W31,"GOOD",IF(K31&lt;=X31,"REVIEW","HIGH VAR")),"HIGH VAR"),IF(J31&lt;=W31,"GOOD",IF(J31&lt;=X31,"REVIEW","HIGH VAR"))))</f>
        <v/>
      </c>
      <c r="Z31" s="9" t="inlineStr">
        <is>
          <t>0.5,5</t>
        </is>
      </c>
      <c r="AA31" s="9" t="inlineStr">
        <is>
          <t>1,10</t>
        </is>
      </c>
      <c r="AB31" s="9" t="inlineStr">
        <is>
          <t>S4,S11</t>
        </is>
      </c>
      <c r="AC31" s="10" t="n">
        <v>0.5</v>
      </c>
      <c r="AD31" s="10" t="n">
        <v>5</v>
      </c>
      <c r="AE31" s="9" t="inlineStr">
        <is>
          <t>S4</t>
        </is>
      </c>
      <c r="AF31" s="9" t="inlineStr">
        <is>
          <t>S11</t>
        </is>
      </c>
      <c r="AG31" s="9" t="inlineStr"/>
      <c r="AH31" s="9" t="inlineStr"/>
      <c r="AI31" s="9" t="inlineStr">
        <is>
          <t>exact measured Up 0.5 rpm / exact measured 5.0 rpm Up endpoint or shared turnaround</t>
        </is>
      </c>
      <c r="AJ31" s="9" t="inlineStr">
        <is>
          <t>0.5</t>
        </is>
      </c>
      <c r="AK31" s="9" t="inlineStr">
        <is>
          <t>5.0</t>
        </is>
      </c>
      <c r="AL31" s="9" t="inlineStr">
        <is>
          <t>S4</t>
        </is>
      </c>
      <c r="AM31" s="9" t="inlineStr">
        <is>
          <t>S11</t>
        </is>
      </c>
      <c r="AN31" s="9" t="inlineStr">
        <is>
          <t>1</t>
        </is>
      </c>
      <c r="AO31" s="9" t="inlineStr">
        <is>
          <t>10</t>
        </is>
      </c>
      <c r="AP31" s="9" t="inlineStr">
        <is>
          <t>10</t>
        </is>
      </c>
      <c r="AQ31" s="9" t="inlineStr">
        <is>
          <t>measured</t>
        </is>
      </c>
      <c r="AR31" s="9" t="inlineStr">
        <is>
          <t>Yes</t>
        </is>
      </c>
      <c r="AS31" s="9" t="inlineStr"/>
      <c r="AT31" s="11" t="inlineStr">
        <is>
          <t>strict 정량값</t>
        </is>
      </c>
      <c r="AU31" s="11" t="inlineStr">
        <is>
          <t>VALID</t>
        </is>
      </c>
      <c r="AV31" s="11" t="inlineStr">
        <is>
          <t>ELIGIBLE</t>
        </is>
      </c>
      <c r="AW31" s="12" t="inlineStr">
        <is>
          <t>INCLUSIVE | strict 정량값 | 60 s hold, Torque 10–95% 범위 내 | Steps S4,S11 | RPM 0.5,5 | γ̇ 1,10 | exact measured Up 0.5 rpm / exact measured 5.0 rpm Up endpoint or shared turnaround | [OK] eta_up(0.5 rpm, S4) / eta(5 rpm, Up endpoint S11) (01)</t>
        </is>
      </c>
    </row>
    <row r="32" ht="31" customHeight="1">
      <c r="B32" s="9" t="inlineStr">
        <is>
          <t>T1 Lot 동일성 핵심</t>
        </is>
      </c>
      <c r="C32" s="9" t="inlineStr">
        <is>
          <t>A_ETA_LOW_DN</t>
        </is>
      </c>
      <c r="D32" s="9" t="inlineStr">
        <is>
          <t>CORE</t>
        </is>
      </c>
      <c r="E32" s="9" t="inlineStr">
        <is>
          <t>저전단 겉보기 점도 — 하강</t>
        </is>
      </c>
      <c r="F32" s="9" t="inlineStr">
        <is>
          <t>고전단 이력 후 가장 낮은 하강 전단의 겉보기 점도.</t>
        </is>
      </c>
      <c r="G32" s="9" t="inlineStr">
        <is>
          <t>cP</t>
        </is>
      </c>
      <c r="H32" s="9" t="inlineStr">
        <is>
          <t>0 / 1</t>
        </is>
      </c>
      <c r="I32" s="13" t="n">
        <v/>
      </c>
      <c r="J32" s="13" t="n">
        <v/>
      </c>
      <c r="K32" s="10" t="inlineStr"/>
      <c r="L32" s="13" t="n">
        <v/>
      </c>
      <c r="M32" s="13" t="n">
        <v/>
      </c>
      <c r="N32" s="13" t="n">
        <v/>
      </c>
      <c r="O32" s="13" t="n">
        <v/>
      </c>
      <c r="P32" s="9" t="inlineStr"/>
      <c r="Q32" s="9" t="inlineStr">
        <is>
          <t>INCLUSIVE</t>
        </is>
      </c>
      <c r="R32" s="9" t="n">
        <v>0</v>
      </c>
      <c r="S32" s="9" t="n">
        <v>0</v>
      </c>
      <c r="T32" s="9" t="n">
        <v>0</v>
      </c>
      <c r="U32" s="9" t="n">
        <v>0</v>
      </c>
      <c r="V32" s="9" t="inlineStr">
        <is>
          <t>RSD</t>
        </is>
      </c>
      <c r="W32" s="9" t="n">
        <v>10</v>
      </c>
      <c r="X32" s="9" t="n">
        <v>20</v>
      </c>
      <c r="Y32" s="11">
        <f>IF(OR(V32="-",H32&lt;2),"N/A",IF(V32="RSD",IF(ISNUMBER(K32),IF(K32&lt;=W32,"GOOD",IF(K32&lt;=X32,"REVIEW","HIGH VAR")),"HIGH VAR"),IF(J32&lt;=W32,"GOOD",IF(J32&lt;=X32,"REVIEW","HIGH VAR"))))</f>
        <v/>
      </c>
      <c r="Z32" s="9" t="inlineStr"/>
      <c r="AA32" s="9" t="inlineStr"/>
      <c r="AB32" s="9" t="inlineStr"/>
      <c r="AC32" s="9" t="inlineStr"/>
      <c r="AD32" s="9" t="inlineStr"/>
      <c r="AE32" s="9" t="inlineStr"/>
      <c r="AF32" s="9" t="inlineStr"/>
      <c r="AG32" s="9" t="inlineStr"/>
      <c r="AH32" s="9" t="inlineStr"/>
      <c r="AI32" s="9" t="inlineStr"/>
      <c r="AJ32" s="9" t="inlineStr"/>
      <c r="AK32" s="9" t="inlineStr"/>
      <c r="AL32" s="9" t="inlineStr"/>
      <c r="AM32" s="9" t="inlineStr"/>
      <c r="AN32" s="9" t="inlineStr"/>
      <c r="AO32" s="9" t="inlineStr"/>
      <c r="AP32" s="9" t="inlineStr"/>
      <c r="AQ32" s="9" t="inlineStr"/>
      <c r="AR32" s="9" t="inlineStr">
        <is>
          <t>No</t>
        </is>
      </c>
      <c r="AS32" s="9" t="inlineStr">
        <is>
          <t>Down 분석 가능 Step 없음</t>
        </is>
      </c>
      <c r="AT32" s="11" t="inlineStr">
        <is>
          <t>NO VALUE</t>
        </is>
      </c>
      <c r="AU32" s="11" t="inlineStr">
        <is>
          <t>NO VALUE</t>
        </is>
      </c>
      <c r="AV32" s="11" t="inlineStr">
        <is>
          <t>EXCLUDED</t>
        </is>
      </c>
      <c r="AW32" s="12" t="inlineStr">
        <is>
          <t>INCLUSIVE | NO VALUE | [NO VALUE] Down 분석 가능 Step 없음 (01)</t>
        </is>
      </c>
    </row>
    <row r="33" ht="46.5" customHeight="1">
      <c r="B33" s="9" t="inlineStr">
        <is>
          <t>T1 Lot 동일성 핵심</t>
        </is>
      </c>
      <c r="C33" s="9" t="inlineStr">
        <is>
          <t>D_RHO25</t>
        </is>
      </c>
      <c r="D33" s="9" t="inlineStr">
        <is>
          <t>CORE</t>
        </is>
      </c>
      <c r="E33" s="9" t="inlineStr">
        <is>
          <t>25 °C 탈포 젤 겉보기 밀도 ρ25</t>
        </is>
      </c>
      <c r="F33" s="9" t="inlineStr">
        <is>
          <t>젤 단위 부피당 질량. 수지·가소제 대 실리카 등 충전재의 배합비와 잔류 기포량이 합쳐진 값.</t>
        </is>
      </c>
      <c r="G33" s="9" t="inlineStr">
        <is>
          <t>g/mL</t>
        </is>
      </c>
      <c r="H33" s="9" t="inlineStr">
        <is>
          <t>0 / 0</t>
        </is>
      </c>
      <c r="I33" s="15" t="n">
        <v/>
      </c>
      <c r="J33" s="15" t="n">
        <v/>
      </c>
      <c r="K33" s="10" t="inlineStr"/>
      <c r="L33" s="15" t="n">
        <v/>
      </c>
      <c r="M33" s="15" t="n">
        <v/>
      </c>
      <c r="N33" s="15" t="n">
        <v/>
      </c>
      <c r="O33" s="15" t="n">
        <v/>
      </c>
      <c r="P33" s="9" t="inlineStr"/>
      <c r="Q33" s="9" t="inlineStr">
        <is>
          <t>STRICT</t>
        </is>
      </c>
      <c r="R33" s="9" t="n">
        <v>0</v>
      </c>
      <c r="S33" s="9" t="n">
        <v>0</v>
      </c>
      <c r="T33" s="9" t="n">
        <v>0</v>
      </c>
      <c r="U33" s="9" t="n">
        <v>0</v>
      </c>
      <c r="V33" s="9" t="inlineStr">
        <is>
          <t>SD</t>
        </is>
      </c>
      <c r="W33" s="9" t="n">
        <v>0.002</v>
      </c>
      <c r="X33" s="9" t="n">
        <v>0.005</v>
      </c>
      <c r="Y33" s="11">
        <f>IF(OR(V33="-",H33&lt;2),"N/A",IF(V33="RSD",IF(ISNUMBER(K33),IF(K33&lt;=W33,"GOOD",IF(K33&lt;=X33,"REVIEW","HIGH VAR")),"HIGH VAR"),IF(J33&lt;=W33,"GOOD",IF(J33&lt;=X33,"REVIEW","HIGH VAR"))))</f>
        <v/>
      </c>
      <c r="Z33" s="9" t="inlineStr"/>
      <c r="AA33" s="9" t="inlineStr"/>
      <c r="AB33" s="9" t="inlineStr"/>
      <c r="AC33" s="9" t="inlineStr"/>
      <c r="AD33" s="9" t="inlineStr"/>
      <c r="AE33" s="9" t="inlineStr"/>
      <c r="AF33" s="9" t="inlineStr"/>
      <c r="AG33" s="9" t="inlineStr"/>
      <c r="AH33" s="9" t="inlineStr"/>
      <c r="AI33" s="9" t="inlineStr"/>
      <c r="AJ33" s="9" t="inlineStr"/>
      <c r="AK33" s="9" t="inlineStr"/>
      <c r="AL33" s="9" t="inlineStr"/>
      <c r="AM33" s="9" t="inlineStr"/>
      <c r="AN33" s="9" t="inlineStr"/>
      <c r="AO33" s="9" t="inlineStr"/>
      <c r="AP33" s="9" t="inlineStr"/>
      <c r="AQ33" s="9" t="inlineStr"/>
      <c r="AR33" s="9" t="inlineStr">
        <is>
          <t>No</t>
        </is>
      </c>
      <c r="AS33" s="9" t="inlineStr"/>
      <c r="AT33" s="11" t="inlineStr">
        <is>
          <t>NO VALUE</t>
        </is>
      </c>
      <c r="AU33" s="11" t="inlineStr">
        <is>
          <t>NO DATA</t>
        </is>
      </c>
      <c r="AV33" s="11" t="inlineStr">
        <is>
          <t>NO DATA</t>
        </is>
      </c>
      <c r="AW33" s="12" t="inlineStr">
        <is>
          <t>STRICT | NO VALUE</t>
        </is>
      </c>
    </row>
    <row r="34" ht="62" customHeight="1">
      <c r="B34" s="9" t="inlineStr">
        <is>
          <t>T2 구조 이력·회복</t>
        </is>
      </c>
      <c r="C34" s="9" t="inlineStr">
        <is>
          <t>A_DU_L</t>
        </is>
      </c>
      <c r="D34" s="9" t="inlineStr">
        <is>
          <t>PROCESS_SENSITIVE</t>
        </is>
      </c>
      <c r="E34" s="9" t="inlineStr">
        <is>
          <t>저전단 잔류 구조율 D/U(0.5 rpm)</t>
        </is>
      </c>
      <c r="F34" s="9" t="inlineStr">
        <is>
          <t>최고 전단 이력 후 하강 경로에서 같은 저전단으로 돌아왔을 때 남아 있거나 재형성된 구조의 비율(Method A 시간척도).</t>
        </is>
      </c>
      <c r="G34" s="9" t="inlineStr">
        <is>
          <t>%</t>
        </is>
      </c>
      <c r="H34" s="9" t="inlineStr">
        <is>
          <t>0 / 1</t>
        </is>
      </c>
      <c r="I34" s="10" t="n">
        <v/>
      </c>
      <c r="J34" s="10" t="n">
        <v/>
      </c>
      <c r="K34" s="10" t="inlineStr"/>
      <c r="L34" s="10" t="n">
        <v/>
      </c>
      <c r="M34" s="10" t="n">
        <v/>
      </c>
      <c r="N34" s="10" t="n">
        <v/>
      </c>
      <c r="O34" s="10" t="n">
        <v/>
      </c>
      <c r="P34" s="9" t="inlineStr"/>
      <c r="Q34" s="9" t="inlineStr">
        <is>
          <t>INCLUSIVE</t>
        </is>
      </c>
      <c r="R34" s="9" t="n">
        <v>0</v>
      </c>
      <c r="S34" s="9" t="n">
        <v>0</v>
      </c>
      <c r="T34" s="9" t="n">
        <v>0</v>
      </c>
      <c r="U34" s="9" t="n">
        <v>0</v>
      </c>
      <c r="V34" s="9" t="inlineStr">
        <is>
          <t>SD</t>
        </is>
      </c>
      <c r="W34" s="9" t="n">
        <v>2</v>
      </c>
      <c r="X34" s="9" t="n">
        <v>5</v>
      </c>
      <c r="Y34" s="11">
        <f>IF(OR(V34="-",H34&lt;2),"N/A",IF(V34="RSD",IF(ISNUMBER(K34),IF(K34&lt;=W34,"GOOD",IF(K34&lt;=X34,"REVIEW","HIGH VAR")),"HIGH VAR"),IF(J34&lt;=W34,"GOOD",IF(J34&lt;=X34,"REVIEW","HIGH VAR"))))</f>
        <v/>
      </c>
      <c r="Z34" s="9" t="inlineStr"/>
      <c r="AA34" s="9" t="inlineStr"/>
      <c r="AB34" s="9" t="inlineStr"/>
      <c r="AC34" s="9" t="inlineStr"/>
      <c r="AD34" s="9" t="inlineStr"/>
      <c r="AE34" s="9" t="inlineStr"/>
      <c r="AF34" s="9" t="inlineStr"/>
      <c r="AG34" s="9" t="inlineStr"/>
      <c r="AH34" s="9" t="inlineStr"/>
      <c r="AI34" s="9" t="inlineStr"/>
      <c r="AJ34" s="9" t="inlineStr"/>
      <c r="AK34" s="9" t="inlineStr"/>
      <c r="AL34" s="9" t="inlineStr"/>
      <c r="AM34" s="9" t="inlineStr"/>
      <c r="AN34" s="9" t="inlineStr"/>
      <c r="AO34" s="9" t="inlineStr"/>
      <c r="AP34" s="9" t="inlineStr"/>
      <c r="AQ34" s="9" t="inlineStr"/>
      <c r="AR34" s="9" t="inlineStr">
        <is>
          <t>No</t>
        </is>
      </c>
      <c r="AS34" s="9" t="inlineStr">
        <is>
          <t>S4 Up 0.5 rpm; Down 0.5 rpm Step 없음</t>
        </is>
      </c>
      <c r="AT34" s="11" t="inlineStr">
        <is>
          <t>strict 정량값</t>
        </is>
      </c>
      <c r="AU34" s="11" t="inlineStr">
        <is>
          <t>NO VALUE</t>
        </is>
      </c>
      <c r="AV34" s="11" t="inlineStr">
        <is>
          <t>EXCLUDED</t>
        </is>
      </c>
      <c r="AW34" s="12" t="inlineStr">
        <is>
          <t>INCLUSIVE | strict 정량값 | 60 s hold, Torque 10–95% 범위 내 | [NO VALUE] S4 Up 0.5 rpm; Down 0.5 rpm Step 없음 (01)</t>
        </is>
      </c>
    </row>
    <row r="35" ht="46.5" customHeight="1">
      <c r="B35" s="9" t="inlineStr">
        <is>
          <t>T2 구조 이력·회복</t>
        </is>
      </c>
      <c r="C35" s="9" t="inlineStr">
        <is>
          <t>A_DU_M</t>
        </is>
      </c>
      <c r="D35" s="9" t="inlineStr">
        <is>
          <t>PROCESS_SENSITIVE</t>
        </is>
      </c>
      <c r="E35" s="9" t="inlineStr">
        <is>
          <t>중간 전단 잔류 구조율 D/U(2 rpm)</t>
        </is>
      </c>
      <c r="F35" s="9" t="inlineStr">
        <is>
          <t>중간 전단에서 고전단 이력 전후 유동 저항의 비. 저전단 D/U보다 Torque 여유가 커 정밀도가 좋음.</t>
        </is>
      </c>
      <c r="G35" s="9" t="inlineStr">
        <is>
          <t>%</t>
        </is>
      </c>
      <c r="H35" s="9" t="inlineStr">
        <is>
          <t>0 / 1</t>
        </is>
      </c>
      <c r="I35" s="10" t="n">
        <v/>
      </c>
      <c r="J35" s="10" t="n">
        <v/>
      </c>
      <c r="K35" s="10" t="inlineStr"/>
      <c r="L35" s="10" t="n">
        <v/>
      </c>
      <c r="M35" s="10" t="n">
        <v/>
      </c>
      <c r="N35" s="10" t="n">
        <v/>
      </c>
      <c r="O35" s="10" t="n">
        <v/>
      </c>
      <c r="P35" s="9" t="inlineStr"/>
      <c r="Q35" s="9" t="inlineStr">
        <is>
          <t>INCLUSIVE</t>
        </is>
      </c>
      <c r="R35" s="9" t="n">
        <v>0</v>
      </c>
      <c r="S35" s="9" t="n">
        <v>0</v>
      </c>
      <c r="T35" s="9" t="n">
        <v>0</v>
      </c>
      <c r="U35" s="9" t="n">
        <v>0</v>
      </c>
      <c r="V35" s="9" t="inlineStr">
        <is>
          <t>SD</t>
        </is>
      </c>
      <c r="W35" s="9" t="n">
        <v>2</v>
      </c>
      <c r="X35" s="9" t="n">
        <v>5</v>
      </c>
      <c r="Y35" s="11">
        <f>IF(OR(V35="-",H35&lt;2),"N/A",IF(V35="RSD",IF(ISNUMBER(K35),IF(K35&lt;=W35,"GOOD",IF(K35&lt;=X35,"REVIEW","HIGH VAR")),"HIGH VAR"),IF(J35&lt;=W35,"GOOD",IF(J35&lt;=X35,"REVIEW","HIGH VAR"))))</f>
        <v/>
      </c>
      <c r="Z35" s="9" t="inlineStr"/>
      <c r="AA35" s="9" t="inlineStr"/>
      <c r="AB35" s="9" t="inlineStr"/>
      <c r="AC35" s="9" t="inlineStr"/>
      <c r="AD35" s="9" t="inlineStr"/>
      <c r="AE35" s="9" t="inlineStr"/>
      <c r="AF35" s="9" t="inlineStr"/>
      <c r="AG35" s="9" t="inlineStr"/>
      <c r="AH35" s="9" t="inlineStr"/>
      <c r="AI35" s="9" t="inlineStr"/>
      <c r="AJ35" s="9" t="inlineStr"/>
      <c r="AK35" s="9" t="inlineStr"/>
      <c r="AL35" s="9" t="inlineStr"/>
      <c r="AM35" s="9" t="inlineStr"/>
      <c r="AN35" s="9" t="inlineStr"/>
      <c r="AO35" s="9" t="inlineStr"/>
      <c r="AP35" s="9" t="inlineStr"/>
      <c r="AQ35" s="9" t="inlineStr"/>
      <c r="AR35" s="9" t="inlineStr">
        <is>
          <t>No</t>
        </is>
      </c>
      <c r="AS35" s="9" t="inlineStr">
        <is>
          <t>S8 Up 2 rpm; Down 2 rpm Step 없음</t>
        </is>
      </c>
      <c r="AT35" s="11" t="inlineStr">
        <is>
          <t>strict 정량값</t>
        </is>
      </c>
      <c r="AU35" s="11" t="inlineStr">
        <is>
          <t>NO VALUE</t>
        </is>
      </c>
      <c r="AV35" s="11" t="inlineStr">
        <is>
          <t>EXCLUDED</t>
        </is>
      </c>
      <c r="AW35" s="12" t="inlineStr">
        <is>
          <t>INCLUSIVE | strict 정량값 | 60 s hold, Torque 10–95% 범위 내 | [NO VALUE] S8 Up 2 rpm; Down 2 rpm Step 없음 (01)</t>
        </is>
      </c>
    </row>
    <row r="36" ht="62" customHeight="1">
      <c r="B36" s="9" t="inlineStr">
        <is>
          <t>T2 구조 이력·회복</t>
        </is>
      </c>
      <c r="C36" s="9" t="inlineStr">
        <is>
          <t>A_HYS_REL</t>
        </is>
      </c>
      <c r="D36" s="9" t="inlineStr">
        <is>
          <t>PROCESS_SENSITIVE</t>
        </is>
      </c>
      <c r="E36" s="9" t="inlineStr">
        <is>
          <t>상대 응력 히스테리시스</t>
        </is>
      </c>
      <c r="F36" s="9" t="inlineStr">
        <is>
          <t>상승·하강 경로 전체에서 전단 이력으로 생긴 곡선 차이의 정규화 크기(구조 붕괴와 재구축의 불균형 총량).</t>
        </is>
      </c>
      <c r="G36" s="9" t="inlineStr">
        <is>
          <t>%</t>
        </is>
      </c>
      <c r="H36" s="9" t="inlineStr">
        <is>
          <t>0 / 1</t>
        </is>
      </c>
      <c r="I36" s="10" t="n">
        <v/>
      </c>
      <c r="J36" s="10" t="n">
        <v/>
      </c>
      <c r="K36" s="10" t="inlineStr"/>
      <c r="L36" s="10" t="n">
        <v/>
      </c>
      <c r="M36" s="10" t="n">
        <v/>
      </c>
      <c r="N36" s="10" t="n">
        <v/>
      </c>
      <c r="O36" s="10" t="n">
        <v/>
      </c>
      <c r="P36" s="9" t="inlineStr"/>
      <c r="Q36" s="9" t="inlineStr">
        <is>
          <t>INCLUSIVE</t>
        </is>
      </c>
      <c r="R36" s="9" t="n">
        <v>0</v>
      </c>
      <c r="S36" s="9" t="n">
        <v>0</v>
      </c>
      <c r="T36" s="9" t="n">
        <v>0</v>
      </c>
      <c r="U36" s="9" t="n">
        <v>0</v>
      </c>
      <c r="V36" s="9" t="inlineStr">
        <is>
          <t>SD</t>
        </is>
      </c>
      <c r="W36" s="9" t="n">
        <v>1</v>
      </c>
      <c r="X36" s="9" t="n">
        <v>2</v>
      </c>
      <c r="Y36" s="11">
        <f>IF(OR(V36="-",H36&lt;2),"N/A",IF(V36="RSD",IF(ISNUMBER(K36),IF(K36&lt;=W36,"GOOD",IF(K36&lt;=X36,"REVIEW","HIGH VAR")),"HIGH VAR"),IF(J36&lt;=W36,"GOOD",IF(J36&lt;=X36,"REVIEW","HIGH VAR"))))</f>
        <v/>
      </c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  <c r="AI36" s="9" t="inlineStr"/>
      <c r="AJ36" s="9" t="inlineStr"/>
      <c r="AK36" s="9" t="inlineStr"/>
      <c r="AL36" s="9" t="inlineStr"/>
      <c r="AM36" s="9" t="inlineStr"/>
      <c r="AN36" s="9" t="inlineStr"/>
      <c r="AO36" s="9" t="inlineStr"/>
      <c r="AP36" s="9" t="inlineStr"/>
      <c r="AQ36" s="9" t="inlineStr"/>
      <c r="AR36" s="9" t="inlineStr">
        <is>
          <t>No</t>
        </is>
      </c>
      <c r="AS36" s="9" t="inlineStr">
        <is>
          <t>공통 전단률 0쌍 | Full H-B only; no paired point for hysteresis: S2 0.2 rpm, S3 0.35 rpm, S4 0.5 rpm, S5 0.7 rpm, S6 1 rpm, S7 1.5 rpm, S8 2 rpm, S9 3 rpm, S10 4 rpm, S11 5 rpm</t>
        </is>
      </c>
      <c r="AT36" s="11" t="inlineStr">
        <is>
          <t>NO VALUE</t>
        </is>
      </c>
      <c r="AU36" s="11" t="inlineStr">
        <is>
          <t>NO VALUE</t>
        </is>
      </c>
      <c r="AV36" s="11" t="inlineStr">
        <is>
          <t>EXCLUDED</t>
        </is>
      </c>
      <c r="AW36" s="12" t="inlineStr">
        <is>
          <t>INCLUSIVE | NO VALUE | [NO VALUE] 공통 전단률 0쌍 | Full H-B only; no paired point for hysteresis: S2 0.2 rpm, S3 0.35 rpm, S4 0.5 rpm, S5 0.7 rpm, S6 1 rpm, S7 1.5 rpm, S8 2 rpm, S9 3 rpm, S10 4 rpm, S11 5 rpm (01)</t>
        </is>
      </c>
    </row>
    <row r="37" ht="46.5" customHeight="1">
      <c r="B37" s="9" t="inlineStr">
        <is>
          <t>T2 구조 이력·회복</t>
        </is>
      </c>
      <c r="C37" s="9" t="inlineStr">
        <is>
          <t>A_BRK_PEAK</t>
        </is>
      </c>
      <c r="D37" s="9" t="inlineStr">
        <is>
          <t>PROCESS_SENSITIVE</t>
        </is>
      </c>
      <c r="E37" s="9" t="inlineStr">
        <is>
          <t>최고 전단 Step 내 구조 붕괴율</t>
        </is>
      </c>
      <c r="F37" s="9" t="inlineStr">
        <is>
          <t>일정한 고전단 유지 중 시간에 따라 구조가 계속 해체되는 정도(요변성의 붕괴 측면). 0 % 기준의 차이형 지표.</t>
        </is>
      </c>
      <c r="G37" s="9" t="inlineStr">
        <is>
          <t>%</t>
        </is>
      </c>
      <c r="H37" s="9" t="inlineStr">
        <is>
          <t>1 / 1</t>
        </is>
      </c>
      <c r="I37" s="10" t="n">
        <v>0</v>
      </c>
      <c r="J37" s="10" t="n">
        <v/>
      </c>
      <c r="K37" s="10" t="inlineStr"/>
      <c r="L37" s="10" t="n">
        <v>0</v>
      </c>
      <c r="M37" s="10" t="n">
        <v>0</v>
      </c>
      <c r="N37" s="10" t="n">
        <v>0</v>
      </c>
      <c r="O37" s="10" t="n">
        <v>0</v>
      </c>
      <c r="P37" s="9" t="inlineStr">
        <is>
          <t>+0/−0/0×1</t>
        </is>
      </c>
      <c r="Q37" s="9" t="inlineStr">
        <is>
          <t>INCLUSIVE</t>
        </is>
      </c>
      <c r="R37" s="9" t="n">
        <v>0</v>
      </c>
      <c r="S37" s="9" t="n">
        <v>0</v>
      </c>
      <c r="T37" s="9" t="n">
        <v>0</v>
      </c>
      <c r="U37" s="9" t="n">
        <v>0</v>
      </c>
      <c r="V37" s="9" t="inlineStr">
        <is>
          <t>SD</t>
        </is>
      </c>
      <c r="W37" s="9" t="n">
        <v>1</v>
      </c>
      <c r="X37" s="9" t="n">
        <v>2</v>
      </c>
      <c r="Y37" s="11">
        <f>IF(OR(V37="-",H37&lt;2),"N/A",IF(V37="RSD",IF(ISNUMBER(K37),IF(K37&lt;=W37,"GOOD",IF(K37&lt;=X37,"REVIEW","HIGH VAR")),"HIGH VAR"),IF(J37&lt;=W37,"GOOD",IF(J37&lt;=X37,"REVIEW","HIGH VAR"))))</f>
        <v/>
      </c>
      <c r="Z37" s="9" t="inlineStr"/>
      <c r="AA37" s="9" t="inlineStr"/>
      <c r="AB37" s="9" t="inlineStr"/>
      <c r="AC37" s="9" t="inlineStr"/>
      <c r="AD37" s="9" t="inlineStr"/>
      <c r="AE37" s="9" t="inlineStr"/>
      <c r="AF37" s="9" t="inlineStr"/>
      <c r="AG37" s="9" t="inlineStr"/>
      <c r="AH37" s="9" t="inlineStr"/>
      <c r="AI37" s="9" t="inlineStr"/>
      <c r="AJ37" s="9" t="inlineStr"/>
      <c r="AK37" s="9" t="inlineStr"/>
      <c r="AL37" s="9" t="inlineStr"/>
      <c r="AM37" s="9" t="inlineStr"/>
      <c r="AN37" s="9" t="inlineStr"/>
      <c r="AO37" s="9" t="inlineStr"/>
      <c r="AP37" s="9" t="inlineStr"/>
      <c r="AQ37" s="9" t="inlineStr"/>
      <c r="AR37" s="9" t="inlineStr">
        <is>
          <t>Yes</t>
        </is>
      </c>
      <c r="AS37" s="9" t="inlineStr"/>
      <c r="AT37" s="11" t="inlineStr">
        <is>
          <t>strict 정량값</t>
        </is>
      </c>
      <c r="AU37" s="11" t="inlineStr">
        <is>
          <t>VALID</t>
        </is>
      </c>
      <c r="AV37" s="11" t="inlineStr">
        <is>
          <t>ELIGIBLE</t>
        </is>
      </c>
      <c r="AW37" s="12" t="inlineStr">
        <is>
          <t>INCLUSIVE | strict 정량값 | 60 s hold, Torque 10–95% 범위 내</t>
        </is>
      </c>
    </row>
    <row r="38" ht="46.5" customHeight="1">
      <c r="B38" s="9" t="inlineStr">
        <is>
          <t>T2 구조 이력·회복</t>
        </is>
      </c>
      <c r="C38" s="9" t="inlineStr">
        <is>
          <t>A_STATIC_YIELD_APPROX_UP</t>
        </is>
      </c>
      <c r="D38" s="9" t="inlineStr">
        <is>
          <t>PROCESS_SENSITIVE</t>
        </is>
      </c>
      <c r="E38" s="9" t="inlineStr">
        <is>
          <t>근사 정적 항복응력 — 상승 Start-up</t>
        </is>
      </c>
      <c r="F38" s="9" t="inlineStr">
        <is>
          <t>초기 저전단에서 흐름이 시작될 때의 응력 피크. A_OVS_L(초과율 %)과 다른 절대 응력이다.</t>
        </is>
      </c>
      <c r="G38" s="9" t="inlineStr">
        <is>
          <t>Pa</t>
        </is>
      </c>
      <c r="H38" s="9" t="inlineStr">
        <is>
          <t>1 / 1</t>
        </is>
      </c>
      <c r="I38" s="10" t="n">
        <v>200</v>
      </c>
      <c r="J38" s="10" t="n">
        <v/>
      </c>
      <c r="K38" s="10" t="inlineStr"/>
      <c r="L38" s="10" t="n">
        <v>200</v>
      </c>
      <c r="M38" s="10" t="n">
        <v>200</v>
      </c>
      <c r="N38" s="10" t="n">
        <v>0</v>
      </c>
      <c r="O38" s="10" t="n">
        <v>200</v>
      </c>
      <c r="P38" s="9" t="inlineStr">
        <is>
          <t>+1/−0</t>
        </is>
      </c>
      <c r="Q38" s="9" t="inlineStr">
        <is>
          <t>INCLUSIVE</t>
        </is>
      </c>
      <c r="R38" s="9" t="n">
        <v>0</v>
      </c>
      <c r="S38" s="9" t="n">
        <v>0</v>
      </c>
      <c r="T38" s="9" t="n">
        <v>0</v>
      </c>
      <c r="U38" s="9" t="n">
        <v>0</v>
      </c>
      <c r="V38" s="9" t="inlineStr">
        <is>
          <t>RSD</t>
        </is>
      </c>
      <c r="W38" s="9" t="n">
        <v>15</v>
      </c>
      <c r="X38" s="9" t="n">
        <v>30</v>
      </c>
      <c r="Y38" s="11">
        <f>IF(OR(V38="-",H38&lt;2),"N/A",IF(V38="RSD",IF(ISNUMBER(K38),IF(K38&lt;=W38,"GOOD",IF(K38&lt;=X38,"REVIEW","HIGH VAR")),"HIGH VAR"),IF(J38&lt;=W38,"GOOD",IF(J38&lt;=X38,"REVIEW","HIGH VAR"))))</f>
        <v/>
      </c>
      <c r="Z38" s="9" t="inlineStr">
        <is>
          <t>0.2</t>
        </is>
      </c>
      <c r="AA38" s="9" t="inlineStr">
        <is>
          <t>0.4</t>
        </is>
      </c>
      <c r="AB38" s="9" t="inlineStr">
        <is>
          <t>S2</t>
        </is>
      </c>
      <c r="AC38" s="10" t="n">
        <v>0.2</v>
      </c>
      <c r="AD38" s="9" t="inlineStr"/>
      <c r="AE38" s="9" t="inlineStr">
        <is>
          <t>S2</t>
        </is>
      </c>
      <c r="AF38" s="9" t="inlineStr"/>
      <c r="AG38" s="10" t="n">
        <v>0.4</v>
      </c>
      <c r="AH38" s="9" t="inlineStr"/>
      <c r="AI38" s="9" t="inlineStr">
        <is>
          <t>actual minimum measured eligible Up RPM; fixed low reference 0.5 rpm이 아님</t>
        </is>
      </c>
      <c r="AJ38" s="9" t="inlineStr"/>
      <c r="AK38" s="9" t="inlineStr"/>
      <c r="AL38" s="9" t="inlineStr"/>
      <c r="AM38" s="9" t="inlineStr"/>
      <c r="AN38" s="9" t="inlineStr"/>
      <c r="AO38" s="9" t="inlineStr"/>
      <c r="AP38" s="9" t="inlineStr"/>
      <c r="AQ38" s="9" t="inlineStr"/>
      <c r="AR38" s="9" t="inlineStr">
        <is>
          <t>Yes</t>
        </is>
      </c>
      <c r="AS38" s="9" t="inlineStr"/>
      <c r="AT38" s="11" t="inlineStr">
        <is>
          <t>strict 정량값</t>
        </is>
      </c>
      <c r="AU38" s="11" t="inlineStr">
        <is>
          <t>VALID</t>
        </is>
      </c>
      <c r="AV38" s="11" t="inlineStr">
        <is>
          <t>ELIGIBLE</t>
        </is>
      </c>
      <c r="AW38" s="12" t="inlineStr">
        <is>
          <t>INCLUSIVE | strict 정량값 | 60 s hold, Torque 10–95% 범위 내 | Steps S2 | RPM 0.2 | γ̇ 0.4 | actual minimum measured eligible Up RPM; fixed low reference 0.5 rpm이 아님</t>
        </is>
      </c>
    </row>
    <row r="39" ht="31" customHeight="1">
      <c r="B39" s="9" t="inlineStr">
        <is>
          <t>T2 구조 이력·회복</t>
        </is>
      </c>
      <c r="C39" s="9" t="inlineStr">
        <is>
          <t>A_POST_SHEAR_STARTUP_STRESS</t>
        </is>
      </c>
      <c r="D39" s="9" t="inlineStr">
        <is>
          <t>PROCESS_SENSITIVE</t>
        </is>
      </c>
      <c r="E39" s="9" t="inlineStr">
        <is>
          <t>Post-shear residual start-up stress</t>
        </is>
      </c>
      <c r="F39" s="9" t="inlineStr">
        <is>
          <t>고전단 이력 후 저전단으로 돌아왔을 때의 잔류 개시 응력.</t>
        </is>
      </c>
      <c r="G39" s="9" t="inlineStr">
        <is>
          <t>Pa</t>
        </is>
      </c>
      <c r="H39" s="9" t="inlineStr">
        <is>
          <t>0 / 1</t>
        </is>
      </c>
      <c r="I39" s="10" t="n">
        <v/>
      </c>
      <c r="J39" s="10" t="n">
        <v/>
      </c>
      <c r="K39" s="10" t="inlineStr"/>
      <c r="L39" s="10" t="n">
        <v/>
      </c>
      <c r="M39" s="10" t="n">
        <v/>
      </c>
      <c r="N39" s="10" t="n">
        <v/>
      </c>
      <c r="O39" s="10" t="n">
        <v/>
      </c>
      <c r="P39" s="9" t="inlineStr"/>
      <c r="Q39" s="9" t="inlineStr">
        <is>
          <t>INCLUSIVE</t>
        </is>
      </c>
      <c r="R39" s="9" t="n">
        <v>0</v>
      </c>
      <c r="S39" s="9" t="n">
        <v>0</v>
      </c>
      <c r="T39" s="9" t="n">
        <v>0</v>
      </c>
      <c r="U39" s="9" t="n">
        <v>0</v>
      </c>
      <c r="V39" s="9" t="inlineStr">
        <is>
          <t>RSD</t>
        </is>
      </c>
      <c r="W39" s="9" t="n">
        <v>15</v>
      </c>
      <c r="X39" s="9" t="n">
        <v>30</v>
      </c>
      <c r="Y39" s="11">
        <f>IF(OR(V39="-",H39&lt;2),"N/A",IF(V39="RSD",IF(ISNUMBER(K39),IF(K39&lt;=W39,"GOOD",IF(K39&lt;=X39,"REVIEW","HIGH VAR")),"HIGH VAR"),IF(J39&lt;=W39,"GOOD",IF(J39&lt;=X39,"REVIEW","HIGH VAR"))))</f>
        <v/>
      </c>
      <c r="Z39" s="9" t="inlineStr"/>
      <c r="AA39" s="9" t="inlineStr"/>
      <c r="AB39" s="9" t="inlineStr"/>
      <c r="AC39" s="9" t="inlineStr"/>
      <c r="AD39" s="9" t="inlineStr"/>
      <c r="AE39" s="9" t="inlineStr"/>
      <c r="AF39" s="9" t="inlineStr"/>
      <c r="AG39" s="9" t="inlineStr"/>
      <c r="AH39" s="9" t="inlineStr"/>
      <c r="AI39" s="9" t="inlineStr"/>
      <c r="AJ39" s="9" t="inlineStr"/>
      <c r="AK39" s="9" t="inlineStr"/>
      <c r="AL39" s="9" t="inlineStr"/>
      <c r="AM39" s="9" t="inlineStr"/>
      <c r="AN39" s="9" t="inlineStr"/>
      <c r="AO39" s="9" t="inlineStr"/>
      <c r="AP39" s="9" t="inlineStr"/>
      <c r="AQ39" s="9" t="inlineStr"/>
      <c r="AR39" s="9" t="inlineStr">
        <is>
          <t>No</t>
        </is>
      </c>
      <c r="AS39" s="9" t="inlineStr">
        <is>
          <t>Down 분석 가능 Step 없음</t>
        </is>
      </c>
      <c r="AT39" s="11" t="inlineStr">
        <is>
          <t>NO VALUE</t>
        </is>
      </c>
      <c r="AU39" s="11" t="inlineStr">
        <is>
          <t>NO VALUE</t>
        </is>
      </c>
      <c r="AV39" s="11" t="inlineStr">
        <is>
          <t>EXCLUDED</t>
        </is>
      </c>
      <c r="AW39" s="12" t="inlineStr">
        <is>
          <t>INCLUSIVE | NO VALUE | [NO VALUE] Down 분석 가능 Step 없음 (01)</t>
        </is>
      </c>
    </row>
    <row r="40" ht="31" customHeight="1">
      <c r="B40" s="9" t="inlineStr">
        <is>
          <t>T2 구조 이력·회복</t>
        </is>
      </c>
      <c r="C40" s="9" t="inlineStr">
        <is>
          <t>A_POST_SHEAR_STRESS_RETENTION</t>
        </is>
      </c>
      <c r="D40" s="9" t="inlineStr">
        <is>
          <t>PROCESS_SENSITIVE</t>
        </is>
      </c>
      <c r="E40" s="9" t="inlineStr">
        <is>
          <t>Post-shear stress retention</t>
        </is>
      </c>
      <c r="F40" s="9" t="inlineStr">
        <is>
          <t>같은 저전단에서 고전단 이력 전후 개시 응력의 유지 비율.</t>
        </is>
      </c>
      <c r="G40" s="9" t="inlineStr">
        <is>
          <t>%</t>
        </is>
      </c>
      <c r="H40" s="9" t="inlineStr">
        <is>
          <t>0 / 1</t>
        </is>
      </c>
      <c r="I40" s="10" t="n">
        <v/>
      </c>
      <c r="J40" s="10" t="n">
        <v/>
      </c>
      <c r="K40" s="10" t="inlineStr"/>
      <c r="L40" s="10" t="n">
        <v/>
      </c>
      <c r="M40" s="10" t="n">
        <v/>
      </c>
      <c r="N40" s="10" t="n">
        <v/>
      </c>
      <c r="O40" s="10" t="n">
        <v/>
      </c>
      <c r="P40" s="9" t="inlineStr"/>
      <c r="Q40" s="9" t="inlineStr">
        <is>
          <t>INCLUSIVE</t>
        </is>
      </c>
      <c r="R40" s="9" t="n">
        <v>0</v>
      </c>
      <c r="S40" s="9" t="n">
        <v>0</v>
      </c>
      <c r="T40" s="9" t="n">
        <v>0</v>
      </c>
      <c r="U40" s="9" t="n">
        <v>0</v>
      </c>
      <c r="V40" s="9" t="inlineStr">
        <is>
          <t>SD</t>
        </is>
      </c>
      <c r="W40" s="9" t="n">
        <v>5</v>
      </c>
      <c r="X40" s="9" t="n">
        <v>10</v>
      </c>
      <c r="Y40" s="11">
        <f>IF(OR(V40="-",H40&lt;2),"N/A",IF(V40="RSD",IF(ISNUMBER(K40),IF(K40&lt;=W40,"GOOD",IF(K40&lt;=X40,"REVIEW","HIGH VAR")),"HIGH VAR"),IF(J40&lt;=W40,"GOOD",IF(J40&lt;=X40,"REVIEW","HIGH VAR"))))</f>
        <v/>
      </c>
      <c r="Z40" s="9" t="inlineStr"/>
      <c r="AA40" s="9" t="inlineStr"/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  <c r="AI40" s="9" t="inlineStr"/>
      <c r="AJ40" s="9" t="inlineStr"/>
      <c r="AK40" s="9" t="inlineStr"/>
      <c r="AL40" s="9" t="inlineStr"/>
      <c r="AM40" s="9" t="inlineStr"/>
      <c r="AN40" s="9" t="inlineStr"/>
      <c r="AO40" s="9" t="inlineStr"/>
      <c r="AP40" s="9" t="inlineStr"/>
      <c r="AQ40" s="9" t="inlineStr"/>
      <c r="AR40" s="9" t="inlineStr">
        <is>
          <t>No</t>
        </is>
      </c>
      <c r="AS40" s="9" t="inlineStr">
        <is>
          <t>공통 RPM 없음 — 보간하지 않음</t>
        </is>
      </c>
      <c r="AT40" s="11" t="inlineStr">
        <is>
          <t>NO VALUE</t>
        </is>
      </c>
      <c r="AU40" s="11" t="inlineStr">
        <is>
          <t>NO VALUE</t>
        </is>
      </c>
      <c r="AV40" s="11" t="inlineStr">
        <is>
          <t>EXCLUDED</t>
        </is>
      </c>
      <c r="AW40" s="12" t="inlineStr">
        <is>
          <t>INCLUSIVE | NO VALUE | [NO VALUE] 공통 RPM 없음 — 보간하지 않음 (01)</t>
        </is>
      </c>
    </row>
    <row r="41" ht="31" customHeight="1">
      <c r="B41" s="9" t="inlineStr">
        <is>
          <t>T2 구조 이력·회복</t>
        </is>
      </c>
      <c r="C41" s="9" t="inlineStr">
        <is>
          <t>A_ETA_RECOVERY_LOW</t>
        </is>
      </c>
      <c r="D41" s="9" t="inlineStr">
        <is>
          <t>PROCESS_SENSITIVE</t>
        </is>
      </c>
      <c r="E41" s="9" t="inlineStr">
        <is>
          <t>점도 회복률 — 최저 공통 RPM</t>
        </is>
      </c>
      <c r="F41" s="9" t="inlineStr">
        <is>
          <t>최저 공통 전단에서의 겉보기 점도 회복률.</t>
        </is>
      </c>
      <c r="G41" s="9" t="inlineStr">
        <is>
          <t>%</t>
        </is>
      </c>
      <c r="H41" s="9" t="inlineStr">
        <is>
          <t>0 / 1</t>
        </is>
      </c>
      <c r="I41" s="10" t="n">
        <v/>
      </c>
      <c r="J41" s="10" t="n">
        <v/>
      </c>
      <c r="K41" s="10" t="inlineStr"/>
      <c r="L41" s="10" t="n">
        <v/>
      </c>
      <c r="M41" s="10" t="n">
        <v/>
      </c>
      <c r="N41" s="10" t="n">
        <v/>
      </c>
      <c r="O41" s="10" t="n">
        <v/>
      </c>
      <c r="P41" s="9" t="inlineStr"/>
      <c r="Q41" s="9" t="inlineStr">
        <is>
          <t>INCLUSIVE</t>
        </is>
      </c>
      <c r="R41" s="9" t="n">
        <v>0</v>
      </c>
      <c r="S41" s="9" t="n">
        <v>0</v>
      </c>
      <c r="T41" s="9" t="n">
        <v>0</v>
      </c>
      <c r="U41" s="9" t="n">
        <v>0</v>
      </c>
      <c r="V41" s="9" t="inlineStr">
        <is>
          <t>SD</t>
        </is>
      </c>
      <c r="W41" s="9" t="n">
        <v>3</v>
      </c>
      <c r="X41" s="9" t="n">
        <v>6</v>
      </c>
      <c r="Y41" s="11">
        <f>IF(OR(V41="-",H41&lt;2),"N/A",IF(V41="RSD",IF(ISNUMBER(K41),IF(K41&lt;=W41,"GOOD",IF(K41&lt;=X41,"REVIEW","HIGH VAR")),"HIGH VAR"),IF(J41&lt;=W41,"GOOD",IF(J41&lt;=X41,"REVIEW","HIGH VAR"))))</f>
        <v/>
      </c>
      <c r="Z41" s="9" t="inlineStr"/>
      <c r="AA41" s="9" t="inlineStr"/>
      <c r="AB41" s="9" t="inlineStr"/>
      <c r="AC41" s="9" t="inlineStr"/>
      <c r="AD41" s="9" t="inlineStr"/>
      <c r="AE41" s="9" t="inlineStr"/>
      <c r="AF41" s="9" t="inlineStr"/>
      <c r="AG41" s="9" t="inlineStr"/>
      <c r="AH41" s="9" t="inlineStr"/>
      <c r="AI41" s="9" t="inlineStr"/>
      <c r="AJ41" s="9" t="inlineStr"/>
      <c r="AK41" s="9" t="inlineStr"/>
      <c r="AL41" s="9" t="inlineStr"/>
      <c r="AM41" s="9" t="inlineStr"/>
      <c r="AN41" s="9" t="inlineStr"/>
      <c r="AO41" s="9" t="inlineStr"/>
      <c r="AP41" s="9" t="inlineStr"/>
      <c r="AQ41" s="9" t="inlineStr"/>
      <c r="AR41" s="9" t="inlineStr">
        <is>
          <t>No</t>
        </is>
      </c>
      <c r="AS41" s="9" t="inlineStr">
        <is>
          <t>공통 RPM 없음 — 보간하지 않음</t>
        </is>
      </c>
      <c r="AT41" s="11" t="inlineStr">
        <is>
          <t>NO VALUE</t>
        </is>
      </c>
      <c r="AU41" s="11" t="inlineStr">
        <is>
          <t>NO VALUE</t>
        </is>
      </c>
      <c r="AV41" s="11" t="inlineStr">
        <is>
          <t>EXCLUDED</t>
        </is>
      </c>
      <c r="AW41" s="12" t="inlineStr">
        <is>
          <t>INCLUSIVE | NO VALUE | [NO VALUE] 공통 RPM 없음 — 보간하지 않음 (01)</t>
        </is>
      </c>
    </row>
    <row r="42" ht="31" customHeight="1">
      <c r="B42" s="9" t="inlineStr">
        <is>
          <t>T2 구조 이력·회복</t>
        </is>
      </c>
      <c r="C42" s="9" t="inlineStr">
        <is>
          <t>A_HYS_AREA_SIGNED</t>
        </is>
      </c>
      <c r="D42" s="9" t="inlineStr">
        <is>
          <t>PROCESS_SENSITIVE</t>
        </is>
      </c>
      <c r="E42" s="9" t="inlineStr">
        <is>
          <t>응력 히스테리시스 signed area</t>
        </is>
      </c>
      <c r="F42" s="9" t="inlineStr">
        <is>
          <t>상승·하강 응력 차이의 부호 있는 면적.</t>
        </is>
      </c>
      <c r="G42" s="9" t="inlineStr">
        <is>
          <t>Pa/s</t>
        </is>
      </c>
      <c r="H42" s="9" t="inlineStr">
        <is>
          <t>0 / 1</t>
        </is>
      </c>
      <c r="I42" s="10" t="n">
        <v/>
      </c>
      <c r="J42" s="10" t="n">
        <v/>
      </c>
      <c r="K42" s="10" t="inlineStr"/>
      <c r="L42" s="10" t="n">
        <v/>
      </c>
      <c r="M42" s="10" t="n">
        <v/>
      </c>
      <c r="N42" s="10" t="n">
        <v/>
      </c>
      <c r="O42" s="10" t="n">
        <v/>
      </c>
      <c r="P42" s="9" t="inlineStr"/>
      <c r="Q42" s="9" t="inlineStr">
        <is>
          <t>INCLUSIVE</t>
        </is>
      </c>
      <c r="R42" s="9" t="n">
        <v>0</v>
      </c>
      <c r="S42" s="9" t="n">
        <v>0</v>
      </c>
      <c r="T42" s="9" t="n">
        <v>0</v>
      </c>
      <c r="U42" s="9" t="n">
        <v>0</v>
      </c>
      <c r="V42" s="9" t="inlineStr">
        <is>
          <t>SD</t>
        </is>
      </c>
      <c r="W42" s="9" t="n">
        <v>5</v>
      </c>
      <c r="X42" s="9" t="n">
        <v>10</v>
      </c>
      <c r="Y42" s="11">
        <f>IF(OR(V42="-",H42&lt;2),"N/A",IF(V42="RSD",IF(ISNUMBER(K42),IF(K42&lt;=W42,"GOOD",IF(K42&lt;=X42,"REVIEW","HIGH VAR")),"HIGH VAR"),IF(J42&lt;=W42,"GOOD",IF(J42&lt;=X42,"REVIEW","HIGH VAR"))))</f>
        <v/>
      </c>
      <c r="Z42" s="9" t="inlineStr"/>
      <c r="AA42" s="9" t="inlineStr"/>
      <c r="AB42" s="9" t="inlineStr"/>
      <c r="AC42" s="9" t="inlineStr"/>
      <c r="AD42" s="9" t="inlineStr"/>
      <c r="AE42" s="9" t="inlineStr"/>
      <c r="AF42" s="9" t="inlineStr"/>
      <c r="AG42" s="9" t="inlineStr"/>
      <c r="AH42" s="9" t="inlineStr"/>
      <c r="AI42" s="9" t="inlineStr"/>
      <c r="AJ42" s="9" t="inlineStr"/>
      <c r="AK42" s="9" t="inlineStr"/>
      <c r="AL42" s="9" t="inlineStr"/>
      <c r="AM42" s="9" t="inlineStr"/>
      <c r="AN42" s="9" t="inlineStr"/>
      <c r="AO42" s="9" t="inlineStr"/>
      <c r="AP42" s="9" t="inlineStr"/>
      <c r="AQ42" s="9" t="inlineStr"/>
      <c r="AR42" s="9" t="inlineStr">
        <is>
          <t>No</t>
        </is>
      </c>
      <c r="AS42" s="9" t="inlineStr">
        <is>
          <t>공통 전단률 0쌍(&lt;2) — 면적 적분 불가</t>
        </is>
      </c>
      <c r="AT42" s="11" t="inlineStr">
        <is>
          <t>NO VALUE</t>
        </is>
      </c>
      <c r="AU42" s="11" t="inlineStr">
        <is>
          <t>NO VALUE</t>
        </is>
      </c>
      <c r="AV42" s="11" t="inlineStr">
        <is>
          <t>EXCLUDED</t>
        </is>
      </c>
      <c r="AW42" s="12" t="inlineStr">
        <is>
          <t>INCLUSIVE | NO VALUE | [NO VALUE] 공통 전단률 0쌍(&lt;2) — 면적 적분 불가 (01)</t>
        </is>
      </c>
    </row>
    <row r="43" ht="31" customHeight="1">
      <c r="B43" s="9" t="inlineStr">
        <is>
          <t>T2 구조 이력·회복</t>
        </is>
      </c>
      <c r="C43" s="9" t="inlineStr">
        <is>
          <t>A_HYS_AREA_ABS</t>
        </is>
      </c>
      <c r="D43" s="9" t="inlineStr">
        <is>
          <t>PROCESS_SENSITIVE</t>
        </is>
      </c>
      <c r="E43" s="9" t="inlineStr">
        <is>
          <t>응력 히스테리시스 absolute area</t>
        </is>
      </c>
      <c r="F43" s="9" t="inlineStr">
        <is>
          <t>부호를 접은 이력 면적.</t>
        </is>
      </c>
      <c r="G43" s="9" t="inlineStr">
        <is>
          <t>Pa/s</t>
        </is>
      </c>
      <c r="H43" s="9" t="inlineStr">
        <is>
          <t>0 / 1</t>
        </is>
      </c>
      <c r="I43" s="10" t="n">
        <v/>
      </c>
      <c r="J43" s="10" t="n">
        <v/>
      </c>
      <c r="K43" s="10" t="inlineStr"/>
      <c r="L43" s="10" t="n">
        <v/>
      </c>
      <c r="M43" s="10" t="n">
        <v/>
      </c>
      <c r="N43" s="10" t="n">
        <v/>
      </c>
      <c r="O43" s="10" t="n">
        <v/>
      </c>
      <c r="P43" s="9" t="inlineStr"/>
      <c r="Q43" s="9" t="inlineStr">
        <is>
          <t>INCLUSIVE</t>
        </is>
      </c>
      <c r="R43" s="9" t="n">
        <v>0</v>
      </c>
      <c r="S43" s="9" t="n">
        <v>0</v>
      </c>
      <c r="T43" s="9" t="n">
        <v>0</v>
      </c>
      <c r="U43" s="9" t="n">
        <v>0</v>
      </c>
      <c r="V43" s="9" t="inlineStr">
        <is>
          <t>SD</t>
        </is>
      </c>
      <c r="W43" s="9" t="n">
        <v>5</v>
      </c>
      <c r="X43" s="9" t="n">
        <v>10</v>
      </c>
      <c r="Y43" s="11">
        <f>IF(OR(V43="-",H43&lt;2),"N/A",IF(V43="RSD",IF(ISNUMBER(K43),IF(K43&lt;=W43,"GOOD",IF(K43&lt;=X43,"REVIEW","HIGH VAR")),"HIGH VAR"),IF(J43&lt;=W43,"GOOD",IF(J43&lt;=X43,"REVIEW","HIGH VAR"))))</f>
        <v/>
      </c>
      <c r="Z43" s="9" t="inlineStr"/>
      <c r="AA43" s="9" t="inlineStr"/>
      <c r="AB43" s="9" t="inlineStr"/>
      <c r="AC43" s="9" t="inlineStr"/>
      <c r="AD43" s="9" t="inlineStr"/>
      <c r="AE43" s="9" t="inlineStr"/>
      <c r="AF43" s="9" t="inlineStr"/>
      <c r="AG43" s="9" t="inlineStr"/>
      <c r="AH43" s="9" t="inlineStr"/>
      <c r="AI43" s="9" t="inlineStr"/>
      <c r="AJ43" s="9" t="inlineStr"/>
      <c r="AK43" s="9" t="inlineStr"/>
      <c r="AL43" s="9" t="inlineStr"/>
      <c r="AM43" s="9" t="inlineStr"/>
      <c r="AN43" s="9" t="inlineStr"/>
      <c r="AO43" s="9" t="inlineStr"/>
      <c r="AP43" s="9" t="inlineStr"/>
      <c r="AQ43" s="9" t="inlineStr"/>
      <c r="AR43" s="9" t="inlineStr">
        <is>
          <t>No</t>
        </is>
      </c>
      <c r="AS43" s="9" t="inlineStr">
        <is>
          <t>공통 전단률 0쌍(&lt;2) — 면적 적분 불가</t>
        </is>
      </c>
      <c r="AT43" s="11" t="inlineStr">
        <is>
          <t>NO VALUE</t>
        </is>
      </c>
      <c r="AU43" s="11" t="inlineStr">
        <is>
          <t>NO VALUE</t>
        </is>
      </c>
      <c r="AV43" s="11" t="inlineStr">
        <is>
          <t>EXCLUDED</t>
        </is>
      </c>
      <c r="AW43" s="12" t="inlineStr">
        <is>
          <t>INCLUSIVE | NO VALUE | [NO VALUE] 공통 전단률 0쌍(&lt;2) — 면적 적분 불가 (01)</t>
        </is>
      </c>
    </row>
    <row r="44" ht="31" customHeight="1">
      <c r="B44" s="9" t="inlineStr">
        <is>
          <t>T2 구조 이력·회복</t>
        </is>
      </c>
      <c r="C44" s="9" t="inlineStr">
        <is>
          <t>B_ETA_BASE</t>
        </is>
      </c>
      <c r="D44" s="9" t="inlineStr">
        <is>
          <t>PROCESS_SENSITIVE</t>
        </is>
      </c>
      <c r="E44" s="9" t="inlineStr">
        <is>
          <t>3ITT 기준 저전단 점도 η_base</t>
        </is>
      </c>
      <c r="F44" s="9" t="inlineStr">
        <is>
          <t>시험 직전 휴지 구조의 저전단 저항. 회복률 계산의 기준 구조(분모).</t>
        </is>
      </c>
      <c r="G44" s="9" t="inlineStr">
        <is>
          <t>cP</t>
        </is>
      </c>
      <c r="H44" s="9" t="inlineStr">
        <is>
          <t>0 / 0</t>
        </is>
      </c>
      <c r="I44" s="13" t="n">
        <v/>
      </c>
      <c r="J44" s="13" t="n">
        <v/>
      </c>
      <c r="K44" s="10" t="inlineStr"/>
      <c r="L44" s="13" t="n">
        <v/>
      </c>
      <c r="M44" s="13" t="n">
        <v/>
      </c>
      <c r="N44" s="13" t="n">
        <v/>
      </c>
      <c r="O44" s="13" t="n">
        <v/>
      </c>
      <c r="P44" s="9" t="inlineStr"/>
      <c r="Q44" s="9" t="inlineStr">
        <is>
          <t>STRICT</t>
        </is>
      </c>
      <c r="R44" s="9" t="n">
        <v>0</v>
      </c>
      <c r="S44" s="9" t="n">
        <v>0</v>
      </c>
      <c r="T44" s="9" t="n">
        <v>0</v>
      </c>
      <c r="U44" s="9" t="n">
        <v>0</v>
      </c>
      <c r="V44" s="9" t="inlineStr">
        <is>
          <t>RSD</t>
        </is>
      </c>
      <c r="W44" s="9" t="n">
        <v>10</v>
      </c>
      <c r="X44" s="9" t="n">
        <v>20</v>
      </c>
      <c r="Y44" s="11">
        <f>IF(OR(V44="-",H44&lt;2),"N/A",IF(V44="RSD",IF(ISNUMBER(K44),IF(K44&lt;=W44,"GOOD",IF(K44&lt;=X44,"REVIEW","HIGH VAR")),"HIGH VAR"),IF(J44&lt;=W44,"GOOD",IF(J44&lt;=X44,"REVIEW","HIGH VAR"))))</f>
        <v/>
      </c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  <c r="AI44" s="9" t="inlineStr"/>
      <c r="AJ44" s="9" t="inlineStr"/>
      <c r="AK44" s="9" t="inlineStr"/>
      <c r="AL44" s="9" t="inlineStr"/>
      <c r="AM44" s="9" t="inlineStr"/>
      <c r="AN44" s="9" t="inlineStr"/>
      <c r="AO44" s="9" t="inlineStr"/>
      <c r="AP44" s="9" t="inlineStr"/>
      <c r="AQ44" s="9" t="inlineStr"/>
      <c r="AR44" s="9" t="inlineStr">
        <is>
          <t>No</t>
        </is>
      </c>
      <c r="AS44" s="9" t="inlineStr"/>
      <c r="AT44" s="11" t="inlineStr">
        <is>
          <t>NO VALUE</t>
        </is>
      </c>
      <c r="AU44" s="11" t="inlineStr">
        <is>
          <t>NO DATA</t>
        </is>
      </c>
      <c r="AV44" s="11" t="inlineStr">
        <is>
          <t>NO DATA</t>
        </is>
      </c>
      <c r="AW44" s="12" t="inlineStr">
        <is>
          <t>STRICT | NO VALUE</t>
        </is>
      </c>
    </row>
    <row r="45" ht="46.5" customHeight="1">
      <c r="B45" s="9" t="inlineStr">
        <is>
          <t>T2 구조 이력·회복</t>
        </is>
      </c>
      <c r="C45" s="9" t="inlineStr">
        <is>
          <t>B_BRK_DECAY</t>
        </is>
      </c>
      <c r="D45" s="9" t="inlineStr">
        <is>
          <t>PROCESS_SENSITIVE</t>
        </is>
      </c>
      <c r="E45" s="9" t="inlineStr">
        <is>
          <t>3ITT 고전단 구간 붕괴율</t>
        </is>
      </c>
      <c r="F45" s="9" t="inlineStr">
        <is>
          <t>정해진 고전단 유지 중 구조 해체의 진행 정도(원심 전단 모사 구간의 붕괴량). 0 % 기준의 차이형 지표.</t>
        </is>
      </c>
      <c r="G45" s="9" t="inlineStr">
        <is>
          <t>%</t>
        </is>
      </c>
      <c r="H45" s="9" t="inlineStr">
        <is>
          <t>0 / 0</t>
        </is>
      </c>
      <c r="I45" s="10" t="n">
        <v/>
      </c>
      <c r="J45" s="10" t="n">
        <v/>
      </c>
      <c r="K45" s="10" t="inlineStr"/>
      <c r="L45" s="10" t="n">
        <v/>
      </c>
      <c r="M45" s="10" t="n">
        <v/>
      </c>
      <c r="N45" s="10" t="n">
        <v/>
      </c>
      <c r="O45" s="10" t="n">
        <v/>
      </c>
      <c r="P45" s="9" t="inlineStr"/>
      <c r="Q45" s="9" t="inlineStr">
        <is>
          <t>STRICT</t>
        </is>
      </c>
      <c r="R45" s="9" t="n">
        <v>0</v>
      </c>
      <c r="S45" s="9" t="n">
        <v>0</v>
      </c>
      <c r="T45" s="9" t="n">
        <v>0</v>
      </c>
      <c r="U45" s="9" t="n">
        <v>0</v>
      </c>
      <c r="V45" s="9" t="inlineStr">
        <is>
          <t>SD</t>
        </is>
      </c>
      <c r="W45" s="9" t="n">
        <v>1</v>
      </c>
      <c r="X45" s="9" t="n">
        <v>2</v>
      </c>
      <c r="Y45" s="11">
        <f>IF(OR(V45="-",H45&lt;2),"N/A",IF(V45="RSD",IF(ISNUMBER(K45),IF(K45&lt;=W45,"GOOD",IF(K45&lt;=X45,"REVIEW","HIGH VAR")),"HIGH VAR"),IF(J45&lt;=W45,"GOOD",IF(J45&lt;=X45,"REVIEW","HIGH VAR"))))</f>
        <v/>
      </c>
      <c r="Z45" s="9" t="inlineStr"/>
      <c r="AA45" s="9" t="inlineStr"/>
      <c r="AB45" s="9" t="inlineStr"/>
      <c r="AC45" s="9" t="inlineStr"/>
      <c r="AD45" s="9" t="inlineStr"/>
      <c r="AE45" s="9" t="inlineStr"/>
      <c r="AF45" s="9" t="inlineStr"/>
      <c r="AG45" s="9" t="inlineStr"/>
      <c r="AH45" s="9" t="inlineStr"/>
      <c r="AI45" s="9" t="inlineStr"/>
      <c r="AJ45" s="9" t="inlineStr"/>
      <c r="AK45" s="9" t="inlineStr"/>
      <c r="AL45" s="9" t="inlineStr"/>
      <c r="AM45" s="9" t="inlineStr"/>
      <c r="AN45" s="9" t="inlineStr"/>
      <c r="AO45" s="9" t="inlineStr"/>
      <c r="AP45" s="9" t="inlineStr"/>
      <c r="AQ45" s="9" t="inlineStr"/>
      <c r="AR45" s="9" t="inlineStr">
        <is>
          <t>No</t>
        </is>
      </c>
      <c r="AS45" s="9" t="inlineStr"/>
      <c r="AT45" s="11" t="inlineStr">
        <is>
          <t>NO VALUE</t>
        </is>
      </c>
      <c r="AU45" s="11" t="inlineStr">
        <is>
          <t>NO DATA</t>
        </is>
      </c>
      <c r="AV45" s="11" t="inlineStr">
        <is>
          <t>NO DATA</t>
        </is>
      </c>
      <c r="AW45" s="12" t="inlineStr">
        <is>
          <t>STRICT | NO VALUE</t>
        </is>
      </c>
    </row>
    <row r="46" ht="31" customHeight="1">
      <c r="B46" s="9" t="inlineStr">
        <is>
          <t>T2 구조 이력·회복</t>
        </is>
      </c>
      <c r="C46" s="9" t="inlineStr">
        <is>
          <t>B_R60</t>
        </is>
      </c>
      <c r="D46" s="9" t="inlineStr">
        <is>
          <t>PROCESS_SENSITIVE</t>
        </is>
      </c>
      <c r="E46" s="9" t="inlineStr">
        <is>
          <t>60초 구조 회복률 R60</t>
        </is>
      </c>
      <c r="F46" s="9" t="inlineStr">
        <is>
          <t>고전단 해제 직후 1분 안에 저전단에서 기준 대비 재형성된 구조의 비율.</t>
        </is>
      </c>
      <c r="G46" s="9" t="inlineStr">
        <is>
          <t>%</t>
        </is>
      </c>
      <c r="H46" s="9" t="inlineStr">
        <is>
          <t>0 / 0</t>
        </is>
      </c>
      <c r="I46" s="10" t="n">
        <v/>
      </c>
      <c r="J46" s="10" t="n">
        <v/>
      </c>
      <c r="K46" s="10" t="inlineStr"/>
      <c r="L46" s="10" t="n">
        <v/>
      </c>
      <c r="M46" s="10" t="n">
        <v/>
      </c>
      <c r="N46" s="10" t="n">
        <v/>
      </c>
      <c r="O46" s="10" t="n">
        <v/>
      </c>
      <c r="P46" s="9" t="inlineStr"/>
      <c r="Q46" s="9" t="inlineStr">
        <is>
          <t>STRICT</t>
        </is>
      </c>
      <c r="R46" s="9" t="n">
        <v>0</v>
      </c>
      <c r="S46" s="9" t="n">
        <v>0</v>
      </c>
      <c r="T46" s="9" t="n">
        <v>0</v>
      </c>
      <c r="U46" s="9" t="n">
        <v>0</v>
      </c>
      <c r="V46" s="9" t="inlineStr">
        <is>
          <t>SD</t>
        </is>
      </c>
      <c r="W46" s="9" t="n">
        <v>3</v>
      </c>
      <c r="X46" s="9" t="n">
        <v>6</v>
      </c>
      <c r="Y46" s="11">
        <f>IF(OR(V46="-",H46&lt;2),"N/A",IF(V46="RSD",IF(ISNUMBER(K46),IF(K46&lt;=W46,"GOOD",IF(K46&lt;=X46,"REVIEW","HIGH VAR")),"HIGH VAR"),IF(J46&lt;=W46,"GOOD",IF(J46&lt;=X46,"REVIEW","HIGH VAR"))))</f>
        <v/>
      </c>
      <c r="Z46" s="9" t="inlineStr"/>
      <c r="AA46" s="9" t="inlineStr"/>
      <c r="AB46" s="9" t="inlineStr"/>
      <c r="AC46" s="9" t="inlineStr"/>
      <c r="AD46" s="9" t="inlineStr"/>
      <c r="AE46" s="9" t="inlineStr"/>
      <c r="AF46" s="9" t="inlineStr"/>
      <c r="AG46" s="9" t="inlineStr"/>
      <c r="AH46" s="9" t="inlineStr"/>
      <c r="AI46" s="9" t="inlineStr"/>
      <c r="AJ46" s="9" t="inlineStr"/>
      <c r="AK46" s="9" t="inlineStr"/>
      <c r="AL46" s="9" t="inlineStr"/>
      <c r="AM46" s="9" t="inlineStr"/>
      <c r="AN46" s="9" t="inlineStr"/>
      <c r="AO46" s="9" t="inlineStr"/>
      <c r="AP46" s="9" t="inlineStr"/>
      <c r="AQ46" s="9" t="inlineStr"/>
      <c r="AR46" s="9" t="inlineStr">
        <is>
          <t>No</t>
        </is>
      </c>
      <c r="AS46" s="9" t="inlineStr"/>
      <c r="AT46" s="11" t="inlineStr">
        <is>
          <t>NO VALUE</t>
        </is>
      </c>
      <c r="AU46" s="11" t="inlineStr">
        <is>
          <t>NO DATA</t>
        </is>
      </c>
      <c r="AV46" s="11" t="inlineStr">
        <is>
          <t>NO DATA</t>
        </is>
      </c>
      <c r="AW46" s="12" t="inlineStr">
        <is>
          <t>STRICT | NO VALUE</t>
        </is>
      </c>
    </row>
    <row r="47" ht="31" customHeight="1">
      <c r="B47" s="9" t="inlineStr">
        <is>
          <t>T2 구조 이력·회복</t>
        </is>
      </c>
      <c r="C47" s="9" t="inlineStr">
        <is>
          <t>B_R300</t>
        </is>
      </c>
      <c r="D47" s="9" t="inlineStr">
        <is>
          <t>PROCESS_SENSITIVE</t>
        </is>
      </c>
      <c r="E47" s="9" t="inlineStr">
        <is>
          <t>300초 구조 회복률 R300</t>
        </is>
      </c>
      <c r="F47" s="9" t="inlineStr">
        <is>
          <t>5분 시간척도에서의 구조 재형성 정도(느린 재구축 성분 포함).</t>
        </is>
      </c>
      <c r="G47" s="9" t="inlineStr">
        <is>
          <t>%</t>
        </is>
      </c>
      <c r="H47" s="9" t="inlineStr">
        <is>
          <t>0 / 0</t>
        </is>
      </c>
      <c r="I47" s="10" t="n">
        <v/>
      </c>
      <c r="J47" s="10" t="n">
        <v/>
      </c>
      <c r="K47" s="10" t="inlineStr"/>
      <c r="L47" s="10" t="n">
        <v/>
      </c>
      <c r="M47" s="10" t="n">
        <v/>
      </c>
      <c r="N47" s="10" t="n">
        <v/>
      </c>
      <c r="O47" s="10" t="n">
        <v/>
      </c>
      <c r="P47" s="9" t="inlineStr"/>
      <c r="Q47" s="9" t="inlineStr">
        <is>
          <t>STRICT</t>
        </is>
      </c>
      <c r="R47" s="9" t="n">
        <v>0</v>
      </c>
      <c r="S47" s="9" t="n">
        <v>0</v>
      </c>
      <c r="T47" s="9" t="n">
        <v>0</v>
      </c>
      <c r="U47" s="9" t="n">
        <v>0</v>
      </c>
      <c r="V47" s="9" t="inlineStr">
        <is>
          <t>SD</t>
        </is>
      </c>
      <c r="W47" s="9" t="n">
        <v>3</v>
      </c>
      <c r="X47" s="9" t="n">
        <v>6</v>
      </c>
      <c r="Y47" s="11">
        <f>IF(OR(V47="-",H47&lt;2),"N/A",IF(V47="RSD",IF(ISNUMBER(K47),IF(K47&lt;=W47,"GOOD",IF(K47&lt;=X47,"REVIEW","HIGH VAR")),"HIGH VAR"),IF(J47&lt;=W47,"GOOD",IF(J47&lt;=X47,"REVIEW","HIGH VAR"))))</f>
        <v/>
      </c>
      <c r="Z47" s="9" t="inlineStr"/>
      <c r="AA47" s="9" t="inlineStr"/>
      <c r="AB47" s="9" t="inlineStr"/>
      <c r="AC47" s="9" t="inlineStr"/>
      <c r="AD47" s="9" t="inlineStr"/>
      <c r="AE47" s="9" t="inlineStr"/>
      <c r="AF47" s="9" t="inlineStr"/>
      <c r="AG47" s="9" t="inlineStr"/>
      <c r="AH47" s="9" t="inlineStr"/>
      <c r="AI47" s="9" t="inlineStr"/>
      <c r="AJ47" s="9" t="inlineStr"/>
      <c r="AK47" s="9" t="inlineStr"/>
      <c r="AL47" s="9" t="inlineStr"/>
      <c r="AM47" s="9" t="inlineStr"/>
      <c r="AN47" s="9" t="inlineStr"/>
      <c r="AO47" s="9" t="inlineStr"/>
      <c r="AP47" s="9" t="inlineStr"/>
      <c r="AQ47" s="9" t="inlineStr"/>
      <c r="AR47" s="9" t="inlineStr">
        <is>
          <t>No</t>
        </is>
      </c>
      <c r="AS47" s="9" t="inlineStr"/>
      <c r="AT47" s="11" t="inlineStr">
        <is>
          <t>NO VALUE</t>
        </is>
      </c>
      <c r="AU47" s="11" t="inlineStr">
        <is>
          <t>NO DATA</t>
        </is>
      </c>
      <c r="AV47" s="11" t="inlineStr">
        <is>
          <t>NO DATA</t>
        </is>
      </c>
      <c r="AW47" s="12" t="inlineStr">
        <is>
          <t>STRICT | NO VALUE</t>
        </is>
      </c>
    </row>
    <row r="48" ht="15.5" customHeight="1">
      <c r="B48" s="9" t="inlineStr">
        <is>
          <t>T2 구조 이력·회복</t>
        </is>
      </c>
      <c r="C48" s="9" t="inlineStr">
        <is>
          <t>B_T90</t>
        </is>
      </c>
      <c r="D48" s="9" t="inlineStr">
        <is>
          <t>CENSORED_METRIC</t>
        </is>
      </c>
      <c r="E48" s="9" t="inlineStr">
        <is>
          <t>90% 회복 도달시간 t90</t>
        </is>
      </c>
      <c r="F48" s="9" t="inlineStr">
        <is>
          <t>구조 재형성의 시간척도.</t>
        </is>
      </c>
      <c r="G48" s="9" t="inlineStr">
        <is>
          <t>s</t>
        </is>
      </c>
      <c r="H48" s="9" t="inlineStr">
        <is>
          <t>0 / 0</t>
        </is>
      </c>
      <c r="I48" s="16" t="n">
        <v/>
      </c>
      <c r="J48" s="16" t="n">
        <v/>
      </c>
      <c r="K48" s="10" t="inlineStr"/>
      <c r="L48" s="16" t="n">
        <v/>
      </c>
      <c r="M48" s="16" t="n">
        <v/>
      </c>
      <c r="N48" s="16" t="n">
        <v/>
      </c>
      <c r="O48" s="16" t="n">
        <v/>
      </c>
      <c r="P48" s="9" t="inlineStr"/>
      <c r="Q48" s="9" t="inlineStr">
        <is>
          <t>STRICT</t>
        </is>
      </c>
      <c r="R48" s="9" t="n">
        <v>0</v>
      </c>
      <c r="S48" s="9" t="n">
        <v>0</v>
      </c>
      <c r="T48" s="9" t="n">
        <v>0</v>
      </c>
      <c r="U48" s="9" t="n">
        <v>0</v>
      </c>
      <c r="V48" s="9" t="inlineStr">
        <is>
          <t>RSD</t>
        </is>
      </c>
      <c r="W48" s="9" t="n">
        <v>20</v>
      </c>
      <c r="X48" s="9" t="n">
        <v>35</v>
      </c>
      <c r="Y48" s="11">
        <f>IF(OR(V48="-",H48&lt;2),"N/A",IF(V48="RSD",IF(ISNUMBER(K48),IF(K48&lt;=W48,"GOOD",IF(K48&lt;=X48,"REVIEW","HIGH VAR")),"HIGH VAR"),IF(J48&lt;=W48,"GOOD",IF(J48&lt;=X48,"REVIEW","HIGH VAR"))))</f>
        <v/>
      </c>
      <c r="Z48" s="9" t="inlineStr"/>
      <c r="AA48" s="9" t="inlineStr"/>
      <c r="AB48" s="9" t="inlineStr"/>
      <c r="AC48" s="9" t="inlineStr"/>
      <c r="AD48" s="9" t="inlineStr"/>
      <c r="AE48" s="9" t="inlineStr"/>
      <c r="AF48" s="9" t="inlineStr"/>
      <c r="AG48" s="9" t="inlineStr"/>
      <c r="AH48" s="9" t="inlineStr"/>
      <c r="AI48" s="9" t="inlineStr"/>
      <c r="AJ48" s="9" t="inlineStr"/>
      <c r="AK48" s="9" t="inlineStr"/>
      <c r="AL48" s="9" t="inlineStr"/>
      <c r="AM48" s="9" t="inlineStr"/>
      <c r="AN48" s="9" t="inlineStr"/>
      <c r="AO48" s="9" t="inlineStr"/>
      <c r="AP48" s="9" t="inlineStr"/>
      <c r="AQ48" s="9" t="inlineStr"/>
      <c r="AR48" s="9" t="inlineStr">
        <is>
          <t>No</t>
        </is>
      </c>
      <c r="AS48" s="9" t="inlineStr"/>
      <c r="AT48" s="11" t="inlineStr">
        <is>
          <t>NO VALUE</t>
        </is>
      </c>
      <c r="AU48" s="11" t="inlineStr">
        <is>
          <t>NO DATA</t>
        </is>
      </c>
      <c r="AV48" s="11" t="inlineStr">
        <is>
          <t>—</t>
        </is>
      </c>
      <c r="AW48" s="12" t="inlineStr">
        <is>
          <t>STRICT | NO VALUE</t>
        </is>
      </c>
    </row>
    <row r="49" ht="46.5" customHeight="1">
      <c r="B49" s="9" t="inlineStr">
        <is>
          <t>T3 모델·진단</t>
        </is>
      </c>
      <c r="C49" s="9" t="inlineStr">
        <is>
          <t>A_HB_TAUY_UP</t>
        </is>
      </c>
      <c r="D49" s="9" t="inlineStr">
        <is>
          <t>CORE</t>
        </is>
      </c>
      <c r="E49" s="9" t="inlineStr">
        <is>
          <t>동적 항복응력 — 상승 Full H-B</t>
        </is>
      </c>
      <c r="F49" s="9" t="inlineStr">
        <is>
          <t>상승 유동곡선 전체를 γ̇→0으로 외삽한 모델상 흐름 개시 응력.</t>
        </is>
      </c>
      <c r="G49" s="9" t="inlineStr">
        <is>
          <t>Pa</t>
        </is>
      </c>
      <c r="H49" s="9" t="inlineStr">
        <is>
          <t>1 / 1</t>
        </is>
      </c>
      <c r="I49" s="10" t="n">
        <v>199.9999997267373</v>
      </c>
      <c r="J49" s="10" t="n">
        <v/>
      </c>
      <c r="K49" s="10" t="inlineStr"/>
      <c r="L49" s="10" t="n">
        <v>199.9999997267373</v>
      </c>
      <c r="M49" s="10" t="n">
        <v>199.9999997267373</v>
      </c>
      <c r="N49" s="10" t="n">
        <v>0</v>
      </c>
      <c r="O49" s="10" t="n">
        <v>199.9999997267373</v>
      </c>
      <c r="P49" s="9" t="inlineStr">
        <is>
          <t>+1/−0</t>
        </is>
      </c>
      <c r="Q49" s="9" t="inlineStr">
        <is>
          <t>INCLUSIVE</t>
        </is>
      </c>
      <c r="R49" s="9" t="n">
        <v>0</v>
      </c>
      <c r="S49" s="9" t="n">
        <v>0</v>
      </c>
      <c r="T49" s="9" t="n">
        <v>0</v>
      </c>
      <c r="U49" s="9" t="n">
        <v>0</v>
      </c>
      <c r="V49" s="9" t="inlineStr">
        <is>
          <t>RSD</t>
        </is>
      </c>
      <c r="W49" s="9" t="n">
        <v>10</v>
      </c>
      <c r="X49" s="9" t="n">
        <v>20</v>
      </c>
      <c r="Y49" s="11">
        <f>IF(OR(V49="-",H49&lt;2),"N/A",IF(V49="RSD",IF(ISNUMBER(K49),IF(K49&lt;=W49,"GOOD",IF(K49&lt;=X49,"REVIEW","HIGH VAR")),"HIGH VAR"),IF(J49&lt;=W49,"GOOD",IF(J49&lt;=X49,"REVIEW","HIGH VAR"))))</f>
        <v/>
      </c>
      <c r="Z49" s="9" t="inlineStr">
        <is>
          <t>0.2,0.35,0.5,0.7,1,1.5,2,3,4,5</t>
        </is>
      </c>
      <c r="AA49" s="9" t="inlineStr">
        <is>
          <t>0.4–10</t>
        </is>
      </c>
      <c r="AB49" s="9" t="inlineStr">
        <is>
          <t>S2,S3,S4,S5,S6,S7,S8,S9,S10,S11</t>
        </is>
      </c>
      <c r="AC49" s="9" t="inlineStr"/>
      <c r="AD49" s="9" t="inlineStr"/>
      <c r="AE49" s="9" t="inlineStr"/>
      <c r="AF49" s="9" t="inlineStr"/>
      <c r="AG49" s="9" t="inlineStr"/>
      <c r="AH49" s="9" t="inlineStr"/>
      <c r="AI49" s="9" t="inlineStr"/>
      <c r="AJ49" s="9" t="inlineStr"/>
      <c r="AK49" s="9" t="inlineStr"/>
      <c r="AL49" s="9" t="inlineStr"/>
      <c r="AM49" s="9" t="inlineStr"/>
      <c r="AN49" s="9" t="inlineStr"/>
      <c r="AO49" s="9" t="inlineStr"/>
      <c r="AP49" s="9" t="inlineStr"/>
      <c r="AQ49" s="9" t="inlineStr"/>
      <c r="AR49" s="9" t="inlineStr">
        <is>
          <t>Yes</t>
        </is>
      </c>
      <c r="AS49" s="9" t="inlineStr"/>
      <c r="AT49" s="11" t="inlineStr">
        <is>
          <t>strict 정량값</t>
        </is>
      </c>
      <c r="AU49" s="11" t="inlineStr">
        <is>
          <t>VALID</t>
        </is>
      </c>
      <c r="AV49" s="11" t="inlineStr">
        <is>
          <t>ELIGIBLE</t>
        </is>
      </c>
      <c r="AW49" s="12" t="inlineStr">
        <is>
          <t>INCLUSIVE | Full H-B | strict 정량값 | 60 s hold, Torque 10–95% 범위 내 | Steps S2,S3,S4,S5,S6,S7,S8,S9,S10,S11 | RPM 0.2,0.35,0.5,0.7,1,1.5,2,3,4,5 | γ̇ 0.4–10</t>
        </is>
      </c>
    </row>
    <row r="50" ht="46.5" customHeight="1">
      <c r="B50" s="9" t="inlineStr">
        <is>
          <t>T3 모델·진단</t>
        </is>
      </c>
      <c r="C50" s="9" t="inlineStr">
        <is>
          <t>A_HB_K_UP</t>
        </is>
      </c>
      <c r="D50" s="9" t="inlineStr">
        <is>
          <t>CORE</t>
        </is>
      </c>
      <c r="E50" s="9" t="inlineStr">
        <is>
          <t>Consistency K↑ (H-B, Up Full)</t>
        </is>
      </c>
      <c r="F50" s="9" t="inlineStr">
        <is>
          <t>항복 후 유동 저항의 크기. n과 결합되어 의미를 가짐.</t>
        </is>
      </c>
      <c r="G50" s="9" t="inlineStr">
        <is>
          <t>Pa·sⁿ</t>
        </is>
      </c>
      <c r="H50" s="9" t="inlineStr">
        <is>
          <t>1 / 1</t>
        </is>
      </c>
      <c r="I50" s="14" t="n">
        <v>2.809774289344664e-07</v>
      </c>
      <c r="J50" s="14" t="n">
        <v/>
      </c>
      <c r="K50" s="10" t="inlineStr"/>
      <c r="L50" s="14" t="n">
        <v>2.809774289344664e-07</v>
      </c>
      <c r="M50" s="14" t="n">
        <v>2.809774289344664e-07</v>
      </c>
      <c r="N50" s="14" t="n">
        <v>0</v>
      </c>
      <c r="O50" s="14" t="n">
        <v>2.809774289344664e-07</v>
      </c>
      <c r="P50" s="9" t="inlineStr">
        <is>
          <t>+1/−0</t>
        </is>
      </c>
      <c r="Q50" s="9" t="inlineStr">
        <is>
          <t>INCLUSIVE</t>
        </is>
      </c>
      <c r="R50" s="9" t="n">
        <v>0</v>
      </c>
      <c r="S50" s="9" t="n">
        <v>0</v>
      </c>
      <c r="T50" s="9" t="n">
        <v>0</v>
      </c>
      <c r="U50" s="9" t="n">
        <v>0</v>
      </c>
      <c r="V50" s="9" t="inlineStr">
        <is>
          <t>RSD</t>
        </is>
      </c>
      <c r="W50" s="9" t="n">
        <v>10</v>
      </c>
      <c r="X50" s="9" t="n">
        <v>20</v>
      </c>
      <c r="Y50" s="11">
        <f>IF(OR(V50="-",H50&lt;2),"N/A",IF(V50="RSD",IF(ISNUMBER(K50),IF(K50&lt;=W50,"GOOD",IF(K50&lt;=X50,"REVIEW","HIGH VAR")),"HIGH VAR"),IF(J50&lt;=W50,"GOOD",IF(J50&lt;=X50,"REVIEW","HIGH VAR"))))</f>
        <v/>
      </c>
      <c r="Z50" s="9" t="inlineStr">
        <is>
          <t>0.2,0.35,0.5,0.7,1,1.5,2,3,4,5</t>
        </is>
      </c>
      <c r="AA50" s="9" t="inlineStr">
        <is>
          <t>0.4–10</t>
        </is>
      </c>
      <c r="AB50" s="9" t="inlineStr">
        <is>
          <t>S2,S3,S4,S5,S6,S7,S8,S9,S10,S11</t>
        </is>
      </c>
      <c r="AC50" s="9" t="inlineStr"/>
      <c r="AD50" s="9" t="inlineStr"/>
      <c r="AE50" s="9" t="inlineStr"/>
      <c r="AF50" s="9" t="inlineStr"/>
      <c r="AG50" s="9" t="inlineStr"/>
      <c r="AH50" s="9" t="inlineStr"/>
      <c r="AI50" s="9" t="inlineStr"/>
      <c r="AJ50" s="9" t="inlineStr"/>
      <c r="AK50" s="9" t="inlineStr"/>
      <c r="AL50" s="9" t="inlineStr"/>
      <c r="AM50" s="9" t="inlineStr"/>
      <c r="AN50" s="9" t="inlineStr"/>
      <c r="AO50" s="9" t="inlineStr"/>
      <c r="AP50" s="9" t="inlineStr"/>
      <c r="AQ50" s="9" t="inlineStr"/>
      <c r="AR50" s="9" t="inlineStr">
        <is>
          <t>Yes</t>
        </is>
      </c>
      <c r="AS50" s="9" t="inlineStr"/>
      <c r="AT50" s="11" t="inlineStr">
        <is>
          <t>strict 정량값</t>
        </is>
      </c>
      <c r="AU50" s="11" t="inlineStr">
        <is>
          <t>VALID</t>
        </is>
      </c>
      <c r="AV50" s="11" t="inlineStr">
        <is>
          <t>ELIGIBLE</t>
        </is>
      </c>
      <c r="AW50" s="12" t="inlineStr">
        <is>
          <t>INCLUSIVE | Full H-B | strict 정량값 | 60 s hold, Torque 10–95% 범위 내 | Steps S2,S3,S4,S5,S6,S7,S8,S9,S10,S11 | RPM 0.2,0.35,0.5,0.7,1,1.5,2,3,4,5 | γ̇ 0.4–10</t>
        </is>
      </c>
    </row>
    <row r="51" ht="46.5" customHeight="1">
      <c r="B51" s="9" t="inlineStr">
        <is>
          <t>T3 모델·진단</t>
        </is>
      </c>
      <c r="C51" s="9" t="inlineStr">
        <is>
          <t>A_HB_N_UP</t>
        </is>
      </c>
      <c r="D51" s="9" t="inlineStr">
        <is>
          <t>CORE</t>
        </is>
      </c>
      <c r="E51" s="9" t="inlineStr">
        <is>
          <t>Flow index n↑ (H-B, Up Full)</t>
        </is>
      </c>
      <c r="F51" s="9" t="inlineStr">
        <is>
          <t>전단률 의존 형상. n&lt;1 전단박화, n=1 Bingham형.</t>
        </is>
      </c>
      <c r="G51" s="9" t="inlineStr">
        <is>
          <t>-</t>
        </is>
      </c>
      <c r="H51" s="9" t="inlineStr">
        <is>
          <t>1 / 1</t>
        </is>
      </c>
      <c r="I51" s="14" t="n">
        <v>0.05000295281845908</v>
      </c>
      <c r="J51" s="14" t="n">
        <v/>
      </c>
      <c r="K51" s="10" t="inlineStr"/>
      <c r="L51" s="14" t="n">
        <v>0.05000295281845908</v>
      </c>
      <c r="M51" s="14" t="n">
        <v>0.05000295281845908</v>
      </c>
      <c r="N51" s="14" t="n">
        <v>0</v>
      </c>
      <c r="O51" s="14" t="n">
        <v>0.05000295281845908</v>
      </c>
      <c r="P51" s="9" t="inlineStr">
        <is>
          <t>+1/−0</t>
        </is>
      </c>
      <c r="Q51" s="9" t="inlineStr">
        <is>
          <t>INCLUSIVE</t>
        </is>
      </c>
      <c r="R51" s="9" t="n">
        <v>0</v>
      </c>
      <c r="S51" s="9" t="n">
        <v>0</v>
      </c>
      <c r="T51" s="9" t="n">
        <v>0</v>
      </c>
      <c r="U51" s="9" t="n">
        <v>0</v>
      </c>
      <c r="V51" s="9" t="inlineStr">
        <is>
          <t>RSD</t>
        </is>
      </c>
      <c r="W51" s="9" t="n">
        <v>10</v>
      </c>
      <c r="X51" s="9" t="n">
        <v>20</v>
      </c>
      <c r="Y51" s="11">
        <f>IF(OR(V51="-",H51&lt;2),"N/A",IF(V51="RSD",IF(ISNUMBER(K51),IF(K51&lt;=W51,"GOOD",IF(K51&lt;=X51,"REVIEW","HIGH VAR")),"HIGH VAR"),IF(J51&lt;=W51,"GOOD",IF(J51&lt;=X51,"REVIEW","HIGH VAR"))))</f>
        <v/>
      </c>
      <c r="Z51" s="9" t="inlineStr">
        <is>
          <t>0.2,0.35,0.5,0.7,1,1.5,2,3,4,5</t>
        </is>
      </c>
      <c r="AA51" s="9" t="inlineStr">
        <is>
          <t>0.4–10</t>
        </is>
      </c>
      <c r="AB51" s="9" t="inlineStr">
        <is>
          <t>S2,S3,S4,S5,S6,S7,S8,S9,S10,S11</t>
        </is>
      </c>
      <c r="AC51" s="9" t="inlineStr"/>
      <c r="AD51" s="9" t="inlineStr"/>
      <c r="AE51" s="9" t="inlineStr"/>
      <c r="AF51" s="9" t="inlineStr"/>
      <c r="AG51" s="9" t="inlineStr"/>
      <c r="AH51" s="9" t="inlineStr"/>
      <c r="AI51" s="9" t="inlineStr"/>
      <c r="AJ51" s="9" t="inlineStr"/>
      <c r="AK51" s="9" t="inlineStr"/>
      <c r="AL51" s="9" t="inlineStr"/>
      <c r="AM51" s="9" t="inlineStr"/>
      <c r="AN51" s="9" t="inlineStr"/>
      <c r="AO51" s="9" t="inlineStr"/>
      <c r="AP51" s="9" t="inlineStr"/>
      <c r="AQ51" s="9" t="inlineStr"/>
      <c r="AR51" s="9" t="inlineStr">
        <is>
          <t>Yes</t>
        </is>
      </c>
      <c r="AS51" s="9" t="inlineStr"/>
      <c r="AT51" s="11" t="inlineStr">
        <is>
          <t>strict 정량값</t>
        </is>
      </c>
      <c r="AU51" s="11" t="inlineStr">
        <is>
          <t>VALID</t>
        </is>
      </c>
      <c r="AV51" s="11" t="inlineStr">
        <is>
          <t>ELIGIBLE</t>
        </is>
      </c>
      <c r="AW51" s="12" t="inlineStr">
        <is>
          <t>INCLUSIVE | Full H-B | strict 정량값 | 60 s hold, Torque 10–95% 범위 내 | Steps S2,S3,S4,S5,S6,S7,S8,S9,S10,S11 | RPM 0.2,0.35,0.5,0.7,1,1.5,2,3,4,5 | γ̇ 0.4–10</t>
        </is>
      </c>
    </row>
    <row r="52" ht="62" customHeight="1">
      <c r="B52" s="9" t="inlineStr">
        <is>
          <t>T3 모델·진단</t>
        </is>
      </c>
      <c r="C52" s="9" t="inlineStr">
        <is>
          <t>A_HB_R2_UP</t>
        </is>
      </c>
      <c r="D52" s="9" t="inlineStr">
        <is>
          <t>DIAGNOSTIC</t>
        </is>
      </c>
      <c r="E52" s="9" t="inlineStr">
        <is>
          <t>H-B 적합도 R²↑ Full</t>
        </is>
      </c>
      <c r="F52" s="9" t="inlineStr">
        <is>
          <t>측정점과 H-B 모델의 일치도. 품질 우수성 지표가 아니라 계산 신뢰성 확인값(진단).</t>
        </is>
      </c>
      <c r="G52" s="9" t="inlineStr">
        <is>
          <t>-</t>
        </is>
      </c>
      <c r="H52" s="9" t="inlineStr">
        <is>
          <t>0 / 1</t>
        </is>
      </c>
      <c r="I52" s="14" t="n">
        <v/>
      </c>
      <c r="J52" s="14" t="n">
        <v/>
      </c>
      <c r="K52" s="10" t="inlineStr"/>
      <c r="L52" s="14" t="n">
        <v/>
      </c>
      <c r="M52" s="14" t="n">
        <v/>
      </c>
      <c r="N52" s="14" t="n">
        <v/>
      </c>
      <c r="O52" s="14" t="n">
        <v/>
      </c>
      <c r="P52" s="9" t="inlineStr"/>
      <c r="Q52" s="9" t="inlineStr">
        <is>
          <t>INCLUSIVE</t>
        </is>
      </c>
      <c r="R52" s="9" t="n">
        <v>0</v>
      </c>
      <c r="S52" s="9" t="n">
        <v>0</v>
      </c>
      <c r="T52" s="9" t="n">
        <v>0</v>
      </c>
      <c r="U52" s="9" t="n">
        <v>0</v>
      </c>
      <c r="V52" s="9" t="inlineStr">
        <is>
          <t>-</t>
        </is>
      </c>
      <c r="W52" s="9" t="n"/>
      <c r="X52" s="9" t="n"/>
      <c r="Y52" s="11" t="inlineStr">
        <is>
          <t>N/A</t>
        </is>
      </c>
      <c r="Z52" s="9" t="inlineStr"/>
      <c r="AA52" s="9" t="inlineStr"/>
      <c r="AB52" s="9" t="inlineStr"/>
      <c r="AC52" s="9" t="inlineStr"/>
      <c r="AD52" s="9" t="inlineStr"/>
      <c r="AE52" s="9" t="inlineStr"/>
      <c r="AF52" s="9" t="inlineStr"/>
      <c r="AG52" s="9" t="inlineStr"/>
      <c r="AH52" s="9" t="inlineStr"/>
      <c r="AI52" s="9" t="inlineStr"/>
      <c r="AJ52" s="9" t="inlineStr"/>
      <c r="AK52" s="9" t="inlineStr"/>
      <c r="AL52" s="9" t="inlineStr"/>
      <c r="AM52" s="9" t="inlineStr"/>
      <c r="AN52" s="9" t="inlineStr"/>
      <c r="AO52" s="9" t="inlineStr"/>
      <c r="AP52" s="9" t="inlineStr"/>
      <c r="AQ52" s="9" t="inlineStr"/>
      <c r="AR52" s="9" t="inlineStr">
        <is>
          <t>No</t>
        </is>
      </c>
      <c r="AS52" s="9" t="inlineStr">
        <is>
          <t>Up Full: OK — 피팅 진단값, Lot 판정 제외 | Full H-B | Steps S2,S3,S4,S5,S6,S7,S8,S9,S10,S11 | RPM 0.2,0.35,0.5,0.7,1,1.5,2,3,4,5 | n=10 | γ̇ 0.4–10</t>
        </is>
      </c>
      <c r="AT52" s="11" t="inlineStr">
        <is>
          <t>strict 정량값</t>
        </is>
      </c>
      <c r="AU52" s="11" t="inlineStr">
        <is>
          <t>NO VALUE</t>
        </is>
      </c>
      <c r="AV52" s="11" t="inlineStr">
        <is>
          <t>—</t>
        </is>
      </c>
      <c r="AW52" s="12" t="inlineStr">
        <is>
          <t>INCLUSIVE | strict 정량값 | 60 s hold, Torque 10–95% 범위 내 | [NO VALUE] Up Full: OK — 피팅 진단값, Lot 판정 제외 | Full H-B | Steps S2,S3,S4,S5,S6,S7,S8,S9,S10,S11 | RPM 0.2,0.35,0.5,0.7,1,1.5,2,3,4,5 | n=10 | γ̇ 0.4–10 (01)</t>
        </is>
      </c>
    </row>
    <row r="53" ht="46.5" customHeight="1">
      <c r="B53" s="9" t="inlineStr">
        <is>
          <t>T3 모델·진단</t>
        </is>
      </c>
      <c r="C53" s="9" t="inlineStr">
        <is>
          <t>A_HB_R2_DN</t>
        </is>
      </c>
      <c r="D53" s="9" t="inlineStr">
        <is>
          <t>DIAGNOSTIC</t>
        </is>
      </c>
      <c r="E53" s="9" t="inlineStr">
        <is>
          <t>H-B 적합도 R²↓ Full</t>
        </is>
      </c>
      <c r="F53" s="9" t="inlineStr">
        <is>
          <t>하강 경로 측정점과 H-B 모델의 일치도. 계산 신뢰성 확인값(진단).</t>
        </is>
      </c>
      <c r="G53" s="9" t="inlineStr">
        <is>
          <t>-</t>
        </is>
      </c>
      <c r="H53" s="9" t="inlineStr">
        <is>
          <t>0 / 1</t>
        </is>
      </c>
      <c r="I53" s="14" t="n">
        <v/>
      </c>
      <c r="J53" s="14" t="n">
        <v/>
      </c>
      <c r="K53" s="10" t="inlineStr"/>
      <c r="L53" s="14" t="n">
        <v/>
      </c>
      <c r="M53" s="14" t="n">
        <v/>
      </c>
      <c r="N53" s="14" t="n">
        <v/>
      </c>
      <c r="O53" s="14" t="n">
        <v/>
      </c>
      <c r="P53" s="9" t="inlineStr"/>
      <c r="Q53" s="9" t="inlineStr">
        <is>
          <t>INCLUSIVE</t>
        </is>
      </c>
      <c r="R53" s="9" t="n">
        <v>0</v>
      </c>
      <c r="S53" s="9" t="n">
        <v>0</v>
      </c>
      <c r="T53" s="9" t="n">
        <v>0</v>
      </c>
      <c r="U53" s="9" t="n">
        <v>0</v>
      </c>
      <c r="V53" s="9" t="inlineStr">
        <is>
          <t>-</t>
        </is>
      </c>
      <c r="W53" s="9" t="n"/>
      <c r="X53" s="9" t="n"/>
      <c r="Y53" s="11" t="inlineStr">
        <is>
          <t>N/A</t>
        </is>
      </c>
      <c r="Z53" s="9" t="inlineStr"/>
      <c r="AA53" s="9" t="inlineStr"/>
      <c r="AB53" s="9" t="inlineStr"/>
      <c r="AC53" s="9" t="inlineStr"/>
      <c r="AD53" s="9" t="inlineStr"/>
      <c r="AE53" s="9" t="inlineStr"/>
      <c r="AF53" s="9" t="inlineStr"/>
      <c r="AG53" s="9" t="inlineStr"/>
      <c r="AH53" s="9" t="inlineStr"/>
      <c r="AI53" s="9" t="inlineStr"/>
      <c r="AJ53" s="9" t="inlineStr"/>
      <c r="AK53" s="9" t="inlineStr"/>
      <c r="AL53" s="9" t="inlineStr"/>
      <c r="AM53" s="9" t="inlineStr"/>
      <c r="AN53" s="9" t="inlineStr"/>
      <c r="AO53" s="9" t="inlineStr"/>
      <c r="AP53" s="9" t="inlineStr"/>
      <c r="AQ53" s="9" t="inlineStr"/>
      <c r="AR53" s="9" t="inlineStr">
        <is>
          <t>No</t>
        </is>
      </c>
      <c r="AS53" s="9" t="inlineStr">
        <is>
          <t xml:space="preserve">Down Full: INVALID — 유효점 4개 미만 — 피팅 진단값, Lot 판정 제외 | Full H-B | Steps  | RPM  | n=0 | γ̇ </t>
        </is>
      </c>
      <c r="AT53" s="11" t="inlineStr">
        <is>
          <t>NO VALUE</t>
        </is>
      </c>
      <c r="AU53" s="11" t="inlineStr">
        <is>
          <t>NO VALUE</t>
        </is>
      </c>
      <c r="AV53" s="11" t="inlineStr">
        <is>
          <t>—</t>
        </is>
      </c>
      <c r="AW53" s="12" t="inlineStr">
        <is>
          <t>INCLUSIVE | NO VALUE | [NO VALUE] Down Full: INVALID — 유효점 4개 미만 — 피팅 진단값, Lot 판정 제외 | Full H-B | Steps  | RPM  | n=0 | γ̇  (01)</t>
        </is>
      </c>
    </row>
    <row r="54" ht="31" customHeight="1">
      <c r="B54" s="9" t="inlineStr">
        <is>
          <t>T3 모델·진단</t>
        </is>
      </c>
      <c r="C54" s="9" t="inlineStr">
        <is>
          <t>A_HB_TAUY_DN</t>
        </is>
      </c>
      <c r="D54" s="9" t="inlineStr">
        <is>
          <t>CORE</t>
        </is>
      </c>
      <c r="E54" s="9" t="inlineStr">
        <is>
          <t>동적 항복응력 — 하강 Full H-B</t>
        </is>
      </c>
      <c r="F54" s="9" t="inlineStr">
        <is>
          <t>고전단 이력 후 하강 곡선 전체의 외삽 흐름 개시 응력.</t>
        </is>
      </c>
      <c r="G54" s="9" t="inlineStr">
        <is>
          <t>Pa</t>
        </is>
      </c>
      <c r="H54" s="9" t="inlineStr">
        <is>
          <t>0 / 1</t>
        </is>
      </c>
      <c r="I54" s="10" t="n">
        <v/>
      </c>
      <c r="J54" s="10" t="n">
        <v/>
      </c>
      <c r="K54" s="10" t="inlineStr"/>
      <c r="L54" s="10" t="n">
        <v/>
      </c>
      <c r="M54" s="10" t="n">
        <v/>
      </c>
      <c r="N54" s="10" t="n">
        <v/>
      </c>
      <c r="O54" s="10" t="n">
        <v/>
      </c>
      <c r="P54" s="9" t="inlineStr"/>
      <c r="Q54" s="9" t="inlineStr">
        <is>
          <t>INCLUSIVE</t>
        </is>
      </c>
      <c r="R54" s="9" t="n">
        <v>0</v>
      </c>
      <c r="S54" s="9" t="n">
        <v>0</v>
      </c>
      <c r="T54" s="9" t="n">
        <v>0</v>
      </c>
      <c r="U54" s="9" t="n">
        <v>0</v>
      </c>
      <c r="V54" s="9" t="inlineStr">
        <is>
          <t>RSD</t>
        </is>
      </c>
      <c r="W54" s="9" t="n">
        <v>10</v>
      </c>
      <c r="X54" s="9" t="n">
        <v>20</v>
      </c>
      <c r="Y54" s="11">
        <f>IF(OR(V54="-",H54&lt;2),"N/A",IF(V54="RSD",IF(ISNUMBER(K54),IF(K54&lt;=W54,"GOOD",IF(K54&lt;=X54,"REVIEW","HIGH VAR")),"HIGH VAR"),IF(J54&lt;=W54,"GOOD",IF(J54&lt;=X54,"REVIEW","HIGH VAR"))))</f>
        <v/>
      </c>
      <c r="Z54" s="9" t="inlineStr"/>
      <c r="AA54" s="9" t="inlineStr"/>
      <c r="AB54" s="9" t="inlineStr"/>
      <c r="AC54" s="9" t="inlineStr"/>
      <c r="AD54" s="9" t="inlineStr"/>
      <c r="AE54" s="9" t="inlineStr"/>
      <c r="AF54" s="9" t="inlineStr"/>
      <c r="AG54" s="9" t="inlineStr"/>
      <c r="AH54" s="9" t="inlineStr"/>
      <c r="AI54" s="9" t="inlineStr"/>
      <c r="AJ54" s="9" t="inlineStr"/>
      <c r="AK54" s="9" t="inlineStr"/>
      <c r="AL54" s="9" t="inlineStr"/>
      <c r="AM54" s="9" t="inlineStr"/>
      <c r="AN54" s="9" t="inlineStr"/>
      <c r="AO54" s="9" t="inlineStr"/>
      <c r="AP54" s="9" t="inlineStr"/>
      <c r="AQ54" s="9" t="inlineStr"/>
      <c r="AR54" s="9" t="inlineStr">
        <is>
          <t>No</t>
        </is>
      </c>
      <c r="AS54" s="9" t="inlineStr">
        <is>
          <t xml:space="preserve">Down Full: INVALID — 유효점 4개 미만 | Full H-B | Steps  | RPM  | n=0 | γ̇ </t>
        </is>
      </c>
      <c r="AT54" s="11" t="inlineStr">
        <is>
          <t>NO VALUE</t>
        </is>
      </c>
      <c r="AU54" s="11" t="inlineStr">
        <is>
          <t>NO VALUE</t>
        </is>
      </c>
      <c r="AV54" s="11" t="inlineStr">
        <is>
          <t>EXCLUDED</t>
        </is>
      </c>
      <c r="AW54" s="12" t="inlineStr">
        <is>
          <t>INCLUSIVE | NO VALUE | [NO VALUE] Down Full: INVALID — 유효점 4개 미만 | Full H-B | Steps  | RPM  | n=0 | γ̇  (01)</t>
        </is>
      </c>
    </row>
    <row r="55" ht="31" customHeight="1">
      <c r="B55" s="9" t="inlineStr">
        <is>
          <t>T3 모델·진단</t>
        </is>
      </c>
      <c r="C55" s="9" t="inlineStr">
        <is>
          <t>A_HB_K_DN</t>
        </is>
      </c>
      <c r="D55" s="9" t="inlineStr">
        <is>
          <t>CORE</t>
        </is>
      </c>
      <c r="E55" s="9" t="inlineStr">
        <is>
          <t>Consistency K↓ (H-B, Down Full)</t>
        </is>
      </c>
      <c r="F55" s="9" t="inlineStr">
        <is>
          <t>고전단 이력 후 하강 상태의 유동 저항 크기.</t>
        </is>
      </c>
      <c r="G55" s="9" t="inlineStr">
        <is>
          <t>Pa·sⁿ</t>
        </is>
      </c>
      <c r="H55" s="9" t="inlineStr">
        <is>
          <t>0 / 1</t>
        </is>
      </c>
      <c r="I55" s="14" t="n">
        <v/>
      </c>
      <c r="J55" s="14" t="n">
        <v/>
      </c>
      <c r="K55" s="10" t="inlineStr"/>
      <c r="L55" s="14" t="n">
        <v/>
      </c>
      <c r="M55" s="14" t="n">
        <v/>
      </c>
      <c r="N55" s="14" t="n">
        <v/>
      </c>
      <c r="O55" s="14" t="n">
        <v/>
      </c>
      <c r="P55" s="9" t="inlineStr"/>
      <c r="Q55" s="9" t="inlineStr">
        <is>
          <t>INCLUSIVE</t>
        </is>
      </c>
      <c r="R55" s="9" t="n">
        <v>0</v>
      </c>
      <c r="S55" s="9" t="n">
        <v>0</v>
      </c>
      <c r="T55" s="9" t="n">
        <v>0</v>
      </c>
      <c r="U55" s="9" t="n">
        <v>0</v>
      </c>
      <c r="V55" s="9" t="inlineStr">
        <is>
          <t>RSD</t>
        </is>
      </c>
      <c r="W55" s="9" t="n">
        <v>10</v>
      </c>
      <c r="X55" s="9" t="n">
        <v>20</v>
      </c>
      <c r="Y55" s="11">
        <f>IF(OR(V55="-",H55&lt;2),"N/A",IF(V55="RSD",IF(ISNUMBER(K55),IF(K55&lt;=W55,"GOOD",IF(K55&lt;=X55,"REVIEW","HIGH VAR")),"HIGH VAR"),IF(J55&lt;=W55,"GOOD",IF(J55&lt;=X55,"REVIEW","HIGH VAR"))))</f>
        <v/>
      </c>
      <c r="Z55" s="9" t="inlineStr"/>
      <c r="AA55" s="9" t="inlineStr"/>
      <c r="AB55" s="9" t="inlineStr"/>
      <c r="AC55" s="9" t="inlineStr"/>
      <c r="AD55" s="9" t="inlineStr"/>
      <c r="AE55" s="9" t="inlineStr"/>
      <c r="AF55" s="9" t="inlineStr"/>
      <c r="AG55" s="9" t="inlineStr"/>
      <c r="AH55" s="9" t="inlineStr"/>
      <c r="AI55" s="9" t="inlineStr"/>
      <c r="AJ55" s="9" t="inlineStr"/>
      <c r="AK55" s="9" t="inlineStr"/>
      <c r="AL55" s="9" t="inlineStr"/>
      <c r="AM55" s="9" t="inlineStr"/>
      <c r="AN55" s="9" t="inlineStr"/>
      <c r="AO55" s="9" t="inlineStr"/>
      <c r="AP55" s="9" t="inlineStr"/>
      <c r="AQ55" s="9" t="inlineStr"/>
      <c r="AR55" s="9" t="inlineStr">
        <is>
          <t>No</t>
        </is>
      </c>
      <c r="AS55" s="9" t="inlineStr">
        <is>
          <t xml:space="preserve">Down Full: INVALID — 유효점 4개 미만 | Full H-B | Steps  | RPM  | n=0 | γ̇ </t>
        </is>
      </c>
      <c r="AT55" s="11" t="inlineStr">
        <is>
          <t>NO VALUE</t>
        </is>
      </c>
      <c r="AU55" s="11" t="inlineStr">
        <is>
          <t>NO VALUE</t>
        </is>
      </c>
      <c r="AV55" s="11" t="inlineStr">
        <is>
          <t>EXCLUDED</t>
        </is>
      </c>
      <c r="AW55" s="12" t="inlineStr">
        <is>
          <t>INCLUSIVE | NO VALUE | [NO VALUE] Down Full: INVALID — 유효점 4개 미만 | Full H-B | Steps  | RPM  | n=0 | γ̇  (01)</t>
        </is>
      </c>
    </row>
    <row r="56" ht="31" customHeight="1">
      <c r="B56" s="9" t="inlineStr">
        <is>
          <t>T3 모델·진단</t>
        </is>
      </c>
      <c r="C56" s="9" t="inlineStr">
        <is>
          <t>A_HB_N_DN</t>
        </is>
      </c>
      <c r="D56" s="9" t="inlineStr">
        <is>
          <t>CORE</t>
        </is>
      </c>
      <c r="E56" s="9" t="inlineStr">
        <is>
          <t>Flow index n↓ (H-B, Down Full)</t>
        </is>
      </c>
      <c r="F56" s="9" t="inlineStr">
        <is>
          <t>하강 프로파일 형상.</t>
        </is>
      </c>
      <c r="G56" s="9" t="inlineStr">
        <is>
          <t>-</t>
        </is>
      </c>
      <c r="H56" s="9" t="inlineStr">
        <is>
          <t>0 / 1</t>
        </is>
      </c>
      <c r="I56" s="14" t="n">
        <v/>
      </c>
      <c r="J56" s="14" t="n">
        <v/>
      </c>
      <c r="K56" s="10" t="inlineStr"/>
      <c r="L56" s="14" t="n">
        <v/>
      </c>
      <c r="M56" s="14" t="n">
        <v/>
      </c>
      <c r="N56" s="14" t="n">
        <v/>
      </c>
      <c r="O56" s="14" t="n">
        <v/>
      </c>
      <c r="P56" s="9" t="inlineStr"/>
      <c r="Q56" s="9" t="inlineStr">
        <is>
          <t>INCLUSIVE</t>
        </is>
      </c>
      <c r="R56" s="9" t="n">
        <v>0</v>
      </c>
      <c r="S56" s="9" t="n">
        <v>0</v>
      </c>
      <c r="T56" s="9" t="n">
        <v>0</v>
      </c>
      <c r="U56" s="9" t="n">
        <v>0</v>
      </c>
      <c r="V56" s="9" t="inlineStr">
        <is>
          <t>RSD</t>
        </is>
      </c>
      <c r="W56" s="9" t="n">
        <v>10</v>
      </c>
      <c r="X56" s="9" t="n">
        <v>20</v>
      </c>
      <c r="Y56" s="11">
        <f>IF(OR(V56="-",H56&lt;2),"N/A",IF(V56="RSD",IF(ISNUMBER(K56),IF(K56&lt;=W56,"GOOD",IF(K56&lt;=X56,"REVIEW","HIGH VAR")),"HIGH VAR"),IF(J56&lt;=W56,"GOOD",IF(J56&lt;=X56,"REVIEW","HIGH VAR"))))</f>
        <v/>
      </c>
      <c r="Z56" s="9" t="inlineStr"/>
      <c r="AA56" s="9" t="inlineStr"/>
      <c r="AB56" s="9" t="inlineStr"/>
      <c r="AC56" s="9" t="inlineStr"/>
      <c r="AD56" s="9" t="inlineStr"/>
      <c r="AE56" s="9" t="inlineStr"/>
      <c r="AF56" s="9" t="inlineStr"/>
      <c r="AG56" s="9" t="inlineStr"/>
      <c r="AH56" s="9" t="inlineStr"/>
      <c r="AI56" s="9" t="inlineStr"/>
      <c r="AJ56" s="9" t="inlineStr"/>
      <c r="AK56" s="9" t="inlineStr"/>
      <c r="AL56" s="9" t="inlineStr"/>
      <c r="AM56" s="9" t="inlineStr"/>
      <c r="AN56" s="9" t="inlineStr"/>
      <c r="AO56" s="9" t="inlineStr"/>
      <c r="AP56" s="9" t="inlineStr"/>
      <c r="AQ56" s="9" t="inlineStr"/>
      <c r="AR56" s="9" t="inlineStr">
        <is>
          <t>No</t>
        </is>
      </c>
      <c r="AS56" s="9" t="inlineStr">
        <is>
          <t xml:space="preserve">Down Full: INVALID — 유효점 4개 미만 | Full H-B | Steps  | RPM  | n=0 | γ̇ </t>
        </is>
      </c>
      <c r="AT56" s="11" t="inlineStr">
        <is>
          <t>NO VALUE</t>
        </is>
      </c>
      <c r="AU56" s="11" t="inlineStr">
        <is>
          <t>NO VALUE</t>
        </is>
      </c>
      <c r="AV56" s="11" t="inlineStr">
        <is>
          <t>EXCLUDED</t>
        </is>
      </c>
      <c r="AW56" s="12" t="inlineStr">
        <is>
          <t>INCLUSIVE | NO VALUE | [NO VALUE] Down Full: INVALID — 유효점 4개 미만 | Full H-B | Steps  | RPM  | n=0 | γ̇  (01)</t>
        </is>
      </c>
    </row>
    <row r="57" ht="77.5" customHeight="1">
      <c r="B57" s="9" t="inlineStr">
        <is>
          <t>T3 모델·진단</t>
        </is>
      </c>
      <c r="C57" s="9" t="inlineStr">
        <is>
          <t>A_HB_TAUY_RATIO</t>
        </is>
      </c>
      <c r="D57" s="9" t="inlineStr">
        <is>
          <t>PROCESS_SENSITIVE</t>
        </is>
      </c>
      <c r="E57" s="9" t="inlineStr">
        <is>
          <t>H-B 항복응력 유지율 — Down/Up Full</t>
        </is>
      </c>
      <c r="F57" s="9" t="inlineStr">
        <is>
          <t>전단 이력 후 외삽 항복 구조의 유지 비율. Full fit끼리의 비.</t>
        </is>
      </c>
      <c r="G57" s="9" t="inlineStr">
        <is>
          <t>%</t>
        </is>
      </c>
      <c r="H57" s="9" t="inlineStr">
        <is>
          <t>0 / 1</t>
        </is>
      </c>
      <c r="I57" s="10" t="n">
        <v/>
      </c>
      <c r="J57" s="10" t="n">
        <v/>
      </c>
      <c r="K57" s="10" t="inlineStr"/>
      <c r="L57" s="10" t="n">
        <v/>
      </c>
      <c r="M57" s="10" t="n">
        <v/>
      </c>
      <c r="N57" s="10" t="n">
        <v/>
      </c>
      <c r="O57" s="10" t="n">
        <v/>
      </c>
      <c r="P57" s="9" t="inlineStr"/>
      <c r="Q57" s="9" t="inlineStr">
        <is>
          <t>INCLUSIVE</t>
        </is>
      </c>
      <c r="R57" s="9" t="n">
        <v>0</v>
      </c>
      <c r="S57" s="9" t="n">
        <v>0</v>
      </c>
      <c r="T57" s="9" t="n">
        <v>0</v>
      </c>
      <c r="U57" s="9" t="n">
        <v>0</v>
      </c>
      <c r="V57" s="9" t="inlineStr">
        <is>
          <t>SD</t>
        </is>
      </c>
      <c r="W57" s="9" t="n">
        <v>5</v>
      </c>
      <c r="X57" s="9" t="n">
        <v>10</v>
      </c>
      <c r="Y57" s="11">
        <f>IF(OR(V57="-",H57&lt;2),"N/A",IF(V57="RSD",IF(ISNUMBER(K57),IF(K57&lt;=W57,"GOOD",IF(K57&lt;=X57,"REVIEW","HIGH VAR")),"HIGH VAR"),IF(J57&lt;=W57,"GOOD",IF(J57&lt;=X57,"REVIEW","HIGH VAR"))))</f>
        <v/>
      </c>
      <c r="Z57" s="9" t="inlineStr"/>
      <c r="AA57" s="9" t="inlineStr"/>
      <c r="AB57" s="9" t="inlineStr"/>
      <c r="AC57" s="9" t="inlineStr"/>
      <c r="AD57" s="9" t="inlineStr"/>
      <c r="AE57" s="9" t="inlineStr"/>
      <c r="AF57" s="9" t="inlineStr"/>
      <c r="AG57" s="9" t="inlineStr"/>
      <c r="AH57" s="9" t="inlineStr"/>
      <c r="AI57" s="9" t="inlineStr"/>
      <c r="AJ57" s="9" t="inlineStr"/>
      <c r="AK57" s="9" t="inlineStr"/>
      <c r="AL57" s="9" t="inlineStr"/>
      <c r="AM57" s="9" t="inlineStr"/>
      <c r="AN57" s="9" t="inlineStr"/>
      <c r="AO57" s="9" t="inlineStr"/>
      <c r="AP57" s="9" t="inlineStr"/>
      <c r="AQ57" s="9" t="inlineStr"/>
      <c r="AR57" s="9" t="inlineStr">
        <is>
          <t>No</t>
        </is>
      </c>
      <c r="AS57" s="9" t="inlineStr">
        <is>
          <t xml:space="preserve">Full H-B Up Full N=10 | Full H-B | Steps S2,S3,S4,S5,S6,S7,S8,S9,S10,S11 | RPM 0.2,0.35,0.5,0.7,1,1.5,2,3,4,5 | n=10 | γ̇ 0.4–10; Down Full: INVALID — 유효점 4개 미만 | Full H-B | Steps  | RPM  | n=0 | γ̇ </t>
        </is>
      </c>
      <c r="AT57" s="11" t="inlineStr">
        <is>
          <t>strict 정량값</t>
        </is>
      </c>
      <c r="AU57" s="11" t="inlineStr">
        <is>
          <t>NO VALUE</t>
        </is>
      </c>
      <c r="AV57" s="11" t="inlineStr">
        <is>
          <t>EXCLUDED</t>
        </is>
      </c>
      <c r="AW57" s="12" t="inlineStr">
        <is>
          <t>INCLUSIVE | strict 정량값 | 60 s hold, Torque 10–95% 범위 내 | [NO VALUE] Full H-B Up Full N=10 | Full H-B | Steps S2,S3,S4,S5,S6,S7,S8,S9,S10,S11 | RPM 0.2,0.35,0.5,0.7,1,1.5,2,3,4,5 | n=10 | γ̇ 0.4–10; Down Full: INVALID — 유효점 4개 미만 | Full H-B | Steps  | RPM  | n=0 | γ̇  (01)</t>
        </is>
      </c>
    </row>
    <row r="58" ht="46.5" customHeight="1">
      <c r="B58" s="9" t="inlineStr">
        <is>
          <t>T3 모델·진단</t>
        </is>
      </c>
      <c r="C58" s="9" t="inlineStr">
        <is>
          <t>A_HDI</t>
        </is>
      </c>
      <c r="D58" s="9" t="inlineStr">
        <is>
          <t>PROCESS_SENSITIVE</t>
        </is>
      </c>
      <c r="E58" s="9" t="inlineStr">
        <is>
          <t>등가중 이력 차이 지수 HDI</t>
        </is>
      </c>
      <c r="F58" s="9" t="inlineStr">
        <is>
          <t>γ̇ 간격 가중이 없는 상승·하강 차이의 평균적 크기. 저전단 쪽 차이도 동등하게 반영.</t>
        </is>
      </c>
      <c r="G58" s="9" t="inlineStr">
        <is>
          <t>%</t>
        </is>
      </c>
      <c r="H58" s="9" t="inlineStr">
        <is>
          <t>0 / 1</t>
        </is>
      </c>
      <c r="I58" s="10" t="n">
        <v/>
      </c>
      <c r="J58" s="10" t="n">
        <v/>
      </c>
      <c r="K58" s="10" t="inlineStr"/>
      <c r="L58" s="10" t="n">
        <v/>
      </c>
      <c r="M58" s="10" t="n">
        <v/>
      </c>
      <c r="N58" s="10" t="n">
        <v/>
      </c>
      <c r="O58" s="10" t="n">
        <v/>
      </c>
      <c r="P58" s="9" t="inlineStr"/>
      <c r="Q58" s="9" t="inlineStr">
        <is>
          <t>INCLUSIVE</t>
        </is>
      </c>
      <c r="R58" s="9" t="n">
        <v>0</v>
      </c>
      <c r="S58" s="9" t="n">
        <v>0</v>
      </c>
      <c r="T58" s="9" t="n">
        <v>0</v>
      </c>
      <c r="U58" s="9" t="n">
        <v>0</v>
      </c>
      <c r="V58" s="9" t="inlineStr">
        <is>
          <t>SD</t>
        </is>
      </c>
      <c r="W58" s="9" t="n">
        <v>1</v>
      </c>
      <c r="X58" s="9" t="n">
        <v>2</v>
      </c>
      <c r="Y58" s="11">
        <f>IF(OR(V58="-",H58&lt;2),"N/A",IF(V58="RSD",IF(ISNUMBER(K58),IF(K58&lt;=W58,"GOOD",IF(K58&lt;=X58,"REVIEW","HIGH VAR")),"HIGH VAR"),IF(J58&lt;=W58,"GOOD",IF(J58&lt;=X58,"REVIEW","HIGH VAR"))))</f>
        <v/>
      </c>
      <c r="Z58" s="9" t="inlineStr"/>
      <c r="AA58" s="9" t="inlineStr"/>
      <c r="AB58" s="9" t="inlineStr"/>
      <c r="AC58" s="9" t="inlineStr"/>
      <c r="AD58" s="9" t="inlineStr"/>
      <c r="AE58" s="9" t="inlineStr"/>
      <c r="AF58" s="9" t="inlineStr"/>
      <c r="AG58" s="9" t="inlineStr"/>
      <c r="AH58" s="9" t="inlineStr"/>
      <c r="AI58" s="9" t="inlineStr"/>
      <c r="AJ58" s="9" t="inlineStr"/>
      <c r="AK58" s="9" t="inlineStr"/>
      <c r="AL58" s="9" t="inlineStr"/>
      <c r="AM58" s="9" t="inlineStr"/>
      <c r="AN58" s="9" t="inlineStr"/>
      <c r="AO58" s="9" t="inlineStr"/>
      <c r="AP58" s="9" t="inlineStr"/>
      <c r="AQ58" s="9" t="inlineStr"/>
      <c r="AR58" s="9" t="inlineStr">
        <is>
          <t>No</t>
        </is>
      </c>
      <c r="AS58" s="9" t="inlineStr">
        <is>
          <t>공통 전단률 0쌍(&lt;4)</t>
        </is>
      </c>
      <c r="AT58" s="11" t="inlineStr">
        <is>
          <t>NO VALUE</t>
        </is>
      </c>
      <c r="AU58" s="11" t="inlineStr">
        <is>
          <t>NO VALUE</t>
        </is>
      </c>
      <c r="AV58" s="11" t="inlineStr">
        <is>
          <t>EXCLUDED</t>
        </is>
      </c>
      <c r="AW58" s="12" t="inlineStr">
        <is>
          <t>INCLUSIVE | NO VALUE | [NO VALUE] 공통 전단률 0쌍(&lt;4) (01)</t>
        </is>
      </c>
    </row>
    <row r="59" ht="62" customHeight="1">
      <c r="B59" s="9" t="inlineStr">
        <is>
          <t>T3 모델·진단</t>
        </is>
      </c>
      <c r="C59" s="9" t="inlineStr">
        <is>
          <t>A_OVS_L</t>
        </is>
      </c>
      <c r="D59" s="9" t="inlineStr">
        <is>
          <t>DIAGNOSTIC</t>
        </is>
      </c>
      <c r="E59" s="9" t="inlineStr">
        <is>
          <t>휴지 후 Start-up 응력 초과율(0.5 rpm)</t>
        </is>
      </c>
      <c r="F59" s="9" t="inlineStr">
        <is>
          <t>휴지 중 형성된 구조가 흐름 개시 순간 깨지며 생기는 응력 초과. 첫 회전 Step이 기준 RPM보다 낮아도 실제 start-up 전이 응답을 사용.</t>
        </is>
      </c>
      <c r="G59" s="9" t="inlineStr">
        <is>
          <t>%</t>
        </is>
      </c>
      <c r="H59" s="9" t="inlineStr">
        <is>
          <t>1 / 1</t>
        </is>
      </c>
      <c r="I59" s="10" t="n">
        <v>0</v>
      </c>
      <c r="J59" s="10" t="n">
        <v/>
      </c>
      <c r="K59" s="10" t="inlineStr"/>
      <c r="L59" s="10" t="n">
        <v>0</v>
      </c>
      <c r="M59" s="10" t="n">
        <v>0</v>
      </c>
      <c r="N59" s="10" t="n">
        <v>0</v>
      </c>
      <c r="O59" s="10" t="n">
        <v>0</v>
      </c>
      <c r="P59" s="9" t="inlineStr">
        <is>
          <t>+0/−0/0×1</t>
        </is>
      </c>
      <c r="Q59" s="9" t="inlineStr">
        <is>
          <t>INCLUSIVE</t>
        </is>
      </c>
      <c r="R59" s="9" t="n">
        <v>0</v>
      </c>
      <c r="S59" s="9" t="n">
        <v>0</v>
      </c>
      <c r="T59" s="9" t="n">
        <v>0</v>
      </c>
      <c r="U59" s="9" t="n">
        <v>0</v>
      </c>
      <c r="V59" s="9" t="inlineStr">
        <is>
          <t>-</t>
        </is>
      </c>
      <c r="W59" s="9" t="n"/>
      <c r="X59" s="9" t="n"/>
      <c r="Y59" s="11" t="inlineStr">
        <is>
          <t>N/A</t>
        </is>
      </c>
      <c r="Z59" s="9" t="inlineStr"/>
      <c r="AA59" s="9" t="inlineStr"/>
      <c r="AB59" s="9" t="inlineStr"/>
      <c r="AC59" s="9" t="inlineStr"/>
      <c r="AD59" s="9" t="inlineStr"/>
      <c r="AE59" s="9" t="inlineStr"/>
      <c r="AF59" s="9" t="inlineStr"/>
      <c r="AG59" s="9" t="inlineStr"/>
      <c r="AH59" s="9" t="inlineStr"/>
      <c r="AI59" s="9" t="inlineStr"/>
      <c r="AJ59" s="9" t="inlineStr"/>
      <c r="AK59" s="9" t="inlineStr"/>
      <c r="AL59" s="9" t="inlineStr"/>
      <c r="AM59" s="9" t="inlineStr"/>
      <c r="AN59" s="9" t="inlineStr"/>
      <c r="AO59" s="9" t="inlineStr"/>
      <c r="AP59" s="9" t="inlineStr"/>
      <c r="AQ59" s="9" t="inlineStr"/>
      <c r="AR59" s="9" t="inlineStr">
        <is>
          <t>Yes</t>
        </is>
      </c>
      <c r="AS59" s="9" t="inlineStr"/>
      <c r="AT59" s="11" t="inlineStr">
        <is>
          <t>strict 정량값</t>
        </is>
      </c>
      <c r="AU59" s="11" t="inlineStr">
        <is>
          <t>NOTICE</t>
        </is>
      </c>
      <c r="AV59" s="11" t="inlineStr">
        <is>
          <t>—</t>
        </is>
      </c>
      <c r="AW59" s="12" t="inlineStr">
        <is>
          <t>INCLUSIVE | strict 정량값 | 60 s hold, Torque 10–95% 범위 내 | [NOTICE] Start-up overshoot stress calculated from first moving Step S2 0.2 rpm; 기준 0.5 rpm과 다름; peak @ 1 s; S2 Up 0.2 rpm — 진단값, Lot 판정 제외 (01)</t>
        </is>
      </c>
    </row>
    <row r="60" ht="77.5" customHeight="1">
      <c r="B60" s="9" t="inlineStr">
        <is>
          <t>T3 모델·진단</t>
        </is>
      </c>
      <c r="C60" s="9" t="inlineStr">
        <is>
          <t>A_HB_GRANGE</t>
        </is>
      </c>
      <c r="D60" s="9" t="inlineStr">
        <is>
          <t>DIAGNOSTIC</t>
        </is>
      </c>
      <c r="E60" s="9" t="inlineStr">
        <is>
          <t>H-B 피팅 전단률 범위 비 γ̇max/γ̇min</t>
        </is>
      </c>
      <c r="F60" s="9" t="inlineStr">
        <is>
          <t>외삽 거리의 역지표. 작을수록 τy·K·n 추정 불확실성이 큼.</t>
        </is>
      </c>
      <c r="G60" s="9" t="inlineStr">
        <is>
          <t>-</t>
        </is>
      </c>
      <c r="H60" s="9" t="inlineStr">
        <is>
          <t>1 / 1</t>
        </is>
      </c>
      <c r="I60" s="14" t="n">
        <v>25</v>
      </c>
      <c r="J60" s="14" t="n">
        <v/>
      </c>
      <c r="K60" s="10" t="inlineStr"/>
      <c r="L60" s="14" t="n">
        <v>25</v>
      </c>
      <c r="M60" s="14" t="n">
        <v>25</v>
      </c>
      <c r="N60" s="14" t="n">
        <v>0</v>
      </c>
      <c r="O60" s="14" t="n">
        <v>25</v>
      </c>
      <c r="P60" s="9" t="inlineStr">
        <is>
          <t>+1/−0</t>
        </is>
      </c>
      <c r="Q60" s="9" t="inlineStr">
        <is>
          <t>INCLUSIVE</t>
        </is>
      </c>
      <c r="R60" s="9" t="n">
        <v>0</v>
      </c>
      <c r="S60" s="9" t="n">
        <v>0</v>
      </c>
      <c r="T60" s="9" t="n">
        <v>0</v>
      </c>
      <c r="U60" s="9" t="n">
        <v>0</v>
      </c>
      <c r="V60" s="9" t="inlineStr">
        <is>
          <t>-</t>
        </is>
      </c>
      <c r="W60" s="9" t="n"/>
      <c r="X60" s="9" t="n"/>
      <c r="Y60" s="11" t="inlineStr">
        <is>
          <t>N/A</t>
        </is>
      </c>
      <c r="Z60" s="9" t="inlineStr">
        <is>
          <t>0.2,0.35,0.5,0.7,1,1.5,2,3,4,5</t>
        </is>
      </c>
      <c r="AA60" s="9" t="inlineStr">
        <is>
          <t>0.4–10</t>
        </is>
      </c>
      <c r="AB60" s="9" t="inlineStr">
        <is>
          <t>S2,S3,S4,S5,S6,S7,S8,S9,S10,S11</t>
        </is>
      </c>
      <c r="AC60" s="9" t="inlineStr"/>
      <c r="AD60" s="9" t="inlineStr"/>
      <c r="AE60" s="9" t="inlineStr"/>
      <c r="AF60" s="9" t="inlineStr"/>
      <c r="AG60" s="9" t="inlineStr"/>
      <c r="AH60" s="9" t="inlineStr"/>
      <c r="AI60" s="9" t="inlineStr"/>
      <c r="AJ60" s="9" t="inlineStr"/>
      <c r="AK60" s="9" t="inlineStr"/>
      <c r="AL60" s="9" t="inlineStr"/>
      <c r="AM60" s="9" t="inlineStr"/>
      <c r="AN60" s="9" t="inlineStr"/>
      <c r="AO60" s="9" t="inlineStr"/>
      <c r="AP60" s="9" t="inlineStr"/>
      <c r="AQ60" s="9" t="inlineStr"/>
      <c r="AR60" s="9" t="inlineStr">
        <is>
          <t>Yes</t>
        </is>
      </c>
      <c r="AS60" s="9" t="inlineStr"/>
      <c r="AT60" s="11" t="inlineStr">
        <is>
          <t>strict 정량값</t>
        </is>
      </c>
      <c r="AU60" s="11" t="inlineStr">
        <is>
          <t>NOTICE</t>
        </is>
      </c>
      <c r="AV60" s="11" t="inlineStr">
        <is>
          <t>—</t>
        </is>
      </c>
      <c r="AW60" s="12" t="inlineStr">
        <is>
          <t>INCLUSIVE | Full H-B | strict 정량값 | 60 s hold, Torque 10–95% 범위 내 | Steps S2,S3,S4,S5,S6,S7,S8,S9,S10,S11 | RPM 0.2,0.35,0.5,0.7,1,1.5,2,3,4,5 | γ̇ 0.4–10 | [NOTICE] 25.00× ≥10 — 외삽 범위 양호(진단값) | Full H-B | Steps S2,S3,S4,S5,S6,S7,S8,S9,S10,S11 | RPM 0.2,0.35,0.5,0.7,1,1.5,2,3,4,5 | n=10 | γ̇ 0.4–10 (01)</t>
        </is>
      </c>
    </row>
    <row r="61" ht="77.5" customHeight="1">
      <c r="B61" s="9" t="inlineStr">
        <is>
          <t>T3 모델·진단</t>
        </is>
      </c>
      <c r="C61" s="9" t="inlineStr">
        <is>
          <t>A_HB_K_RATIO</t>
        </is>
      </c>
      <c r="D61" s="9" t="inlineStr">
        <is>
          <t>DIAGNOSTIC</t>
        </is>
      </c>
      <c r="E61" s="9" t="inlineStr">
        <is>
          <t>K 유지비 Down/Up Full</t>
        </is>
      </c>
      <c r="F61" s="9" t="inlineStr">
        <is>
          <t>Full fit consistency의 유지 비율.</t>
        </is>
      </c>
      <c r="G61" s="9" t="inlineStr">
        <is>
          <t>%</t>
        </is>
      </c>
      <c r="H61" s="9" t="inlineStr">
        <is>
          <t>0 / 1</t>
        </is>
      </c>
      <c r="I61" s="10" t="n">
        <v/>
      </c>
      <c r="J61" s="10" t="n">
        <v/>
      </c>
      <c r="K61" s="10" t="inlineStr"/>
      <c r="L61" s="10" t="n">
        <v/>
      </c>
      <c r="M61" s="10" t="n">
        <v/>
      </c>
      <c r="N61" s="10" t="n">
        <v/>
      </c>
      <c r="O61" s="10" t="n">
        <v/>
      </c>
      <c r="P61" s="9" t="inlineStr"/>
      <c r="Q61" s="9" t="inlineStr">
        <is>
          <t>INCLUSIVE</t>
        </is>
      </c>
      <c r="R61" s="9" t="n">
        <v>0</v>
      </c>
      <c r="S61" s="9" t="n">
        <v>0</v>
      </c>
      <c r="T61" s="9" t="n">
        <v>0</v>
      </c>
      <c r="U61" s="9" t="n">
        <v>0</v>
      </c>
      <c r="V61" s="9" t="inlineStr">
        <is>
          <t>-</t>
        </is>
      </c>
      <c r="W61" s="9" t="n"/>
      <c r="X61" s="9" t="n"/>
      <c r="Y61" s="11" t="inlineStr">
        <is>
          <t>N/A</t>
        </is>
      </c>
      <c r="Z61" s="9" t="inlineStr"/>
      <c r="AA61" s="9" t="inlineStr"/>
      <c r="AB61" s="9" t="inlineStr"/>
      <c r="AC61" s="9" t="inlineStr"/>
      <c r="AD61" s="9" t="inlineStr"/>
      <c r="AE61" s="9" t="inlineStr"/>
      <c r="AF61" s="9" t="inlineStr"/>
      <c r="AG61" s="9" t="inlineStr"/>
      <c r="AH61" s="9" t="inlineStr"/>
      <c r="AI61" s="9" t="inlineStr"/>
      <c r="AJ61" s="9" t="inlineStr"/>
      <c r="AK61" s="9" t="inlineStr"/>
      <c r="AL61" s="9" t="inlineStr"/>
      <c r="AM61" s="9" t="inlineStr"/>
      <c r="AN61" s="9" t="inlineStr"/>
      <c r="AO61" s="9" t="inlineStr"/>
      <c r="AP61" s="9" t="inlineStr"/>
      <c r="AQ61" s="9" t="inlineStr"/>
      <c r="AR61" s="9" t="inlineStr">
        <is>
          <t>No</t>
        </is>
      </c>
      <c r="AS61" s="9" t="inlineStr">
        <is>
          <t xml:space="preserve">Full H-B Up Full N=10 | Full H-B | Steps S2,S3,S4,S5,S6,S7,S8,S9,S10,S11 | RPM 0.2,0.35,0.5,0.7,1,1.5,2,3,4,5 | n=10 | γ̇ 0.4–10; Down Full: INVALID — 유효점 4개 미만 | Full H-B | Steps  | RPM  | n=0 | γ̇ </t>
        </is>
      </c>
      <c r="AT61" s="11" t="inlineStr">
        <is>
          <t>strict 정량값</t>
        </is>
      </c>
      <c r="AU61" s="11" t="inlineStr">
        <is>
          <t>NO VALUE</t>
        </is>
      </c>
      <c r="AV61" s="11" t="inlineStr">
        <is>
          <t>—</t>
        </is>
      </c>
      <c r="AW61" s="12" t="inlineStr">
        <is>
          <t>INCLUSIVE | strict 정량값 | 60 s hold, Torque 10–95% 범위 내 | [NO VALUE] Full H-B Up Full N=10 | Full H-B | Steps S2,S3,S4,S5,S6,S7,S8,S9,S10,S11 | RPM 0.2,0.35,0.5,0.7,1,1.5,2,3,4,5 | n=10 | γ̇ 0.4–10; Down Full: INVALID — 유효점 4개 미만 | Full H-B | Steps  | RPM  | n=0 | γ̇  (01)</t>
        </is>
      </c>
    </row>
    <row r="62" ht="77.5" customHeight="1">
      <c r="B62" s="9" t="inlineStr">
        <is>
          <t>T3 모델·진단</t>
        </is>
      </c>
      <c r="C62" s="9" t="inlineStr">
        <is>
          <t>A_HB_N_DIFF</t>
        </is>
      </c>
      <c r="D62" s="9" t="inlineStr">
        <is>
          <t>DIAGNOSTIC</t>
        </is>
      </c>
      <c r="E62" s="9" t="inlineStr">
        <is>
          <t>n 차이 Down−Up Full</t>
        </is>
      </c>
      <c r="F62" s="9" t="inlineStr">
        <is>
          <t>Full fit flow index 차이.</t>
        </is>
      </c>
      <c r="G62" s="9" t="inlineStr">
        <is>
          <t>-</t>
        </is>
      </c>
      <c r="H62" s="9" t="inlineStr">
        <is>
          <t>0 / 1</t>
        </is>
      </c>
      <c r="I62" s="14" t="n">
        <v/>
      </c>
      <c r="J62" s="14" t="n">
        <v/>
      </c>
      <c r="K62" s="10" t="inlineStr"/>
      <c r="L62" s="14" t="n">
        <v/>
      </c>
      <c r="M62" s="14" t="n">
        <v/>
      </c>
      <c r="N62" s="14" t="n">
        <v/>
      </c>
      <c r="O62" s="14" t="n">
        <v/>
      </c>
      <c r="P62" s="9" t="inlineStr"/>
      <c r="Q62" s="9" t="inlineStr">
        <is>
          <t>INCLUSIVE</t>
        </is>
      </c>
      <c r="R62" s="9" t="n">
        <v>0</v>
      </c>
      <c r="S62" s="9" t="n">
        <v>0</v>
      </c>
      <c r="T62" s="9" t="n">
        <v>0</v>
      </c>
      <c r="U62" s="9" t="n">
        <v>0</v>
      </c>
      <c r="V62" s="9" t="inlineStr">
        <is>
          <t>-</t>
        </is>
      </c>
      <c r="W62" s="9" t="n"/>
      <c r="X62" s="9" t="n"/>
      <c r="Y62" s="11" t="inlineStr">
        <is>
          <t>N/A</t>
        </is>
      </c>
      <c r="Z62" s="9" t="inlineStr"/>
      <c r="AA62" s="9" t="inlineStr"/>
      <c r="AB62" s="9" t="inlineStr"/>
      <c r="AC62" s="9" t="inlineStr"/>
      <c r="AD62" s="9" t="inlineStr"/>
      <c r="AE62" s="9" t="inlineStr"/>
      <c r="AF62" s="9" t="inlineStr"/>
      <c r="AG62" s="9" t="inlineStr"/>
      <c r="AH62" s="9" t="inlineStr"/>
      <c r="AI62" s="9" t="inlineStr"/>
      <c r="AJ62" s="9" t="inlineStr"/>
      <c r="AK62" s="9" t="inlineStr"/>
      <c r="AL62" s="9" t="inlineStr"/>
      <c r="AM62" s="9" t="inlineStr"/>
      <c r="AN62" s="9" t="inlineStr"/>
      <c r="AO62" s="9" t="inlineStr"/>
      <c r="AP62" s="9" t="inlineStr"/>
      <c r="AQ62" s="9" t="inlineStr"/>
      <c r="AR62" s="9" t="inlineStr">
        <is>
          <t>No</t>
        </is>
      </c>
      <c r="AS62" s="9" t="inlineStr">
        <is>
          <t xml:space="preserve">Full H-B Up Full N=10 | Full H-B | Steps S2,S3,S4,S5,S6,S7,S8,S9,S10,S11 | RPM 0.2,0.35,0.5,0.7,1,1.5,2,3,4,5 | n=10 | γ̇ 0.4–10; Down Full: INVALID — 유효점 4개 미만 | Full H-B | Steps  | RPM  | n=0 | γ̇ </t>
        </is>
      </c>
      <c r="AT62" s="11" t="inlineStr">
        <is>
          <t>strict 정량값</t>
        </is>
      </c>
      <c r="AU62" s="11" t="inlineStr">
        <is>
          <t>NO VALUE</t>
        </is>
      </c>
      <c r="AV62" s="11" t="inlineStr">
        <is>
          <t>—</t>
        </is>
      </c>
      <c r="AW62" s="12" t="inlineStr">
        <is>
          <t>INCLUSIVE | strict 정량값 | 60 s hold, Torque 10–95% 범위 내 | [NO VALUE] Full H-B Up Full N=10 | Full H-B | Steps S2,S3,S4,S5,S6,S7,S8,S9,S10,S11 | RPM 0.2,0.35,0.5,0.7,1,1.5,2,3,4,5 | n=10 | γ̇ 0.4–10; Down Full: INVALID — 유효점 4개 미만 | Full H-B | Steps  | RPM  | n=0 | γ̇  (01)</t>
        </is>
      </c>
    </row>
    <row r="63" ht="31" customHeight="1">
      <c r="B63" s="9" t="inlineStr">
        <is>
          <t>T3 모델·진단</t>
        </is>
      </c>
      <c r="C63" s="9" t="inlineStr">
        <is>
          <t>A_HB_TAUY_UP_COMMON</t>
        </is>
      </c>
      <c r="D63" s="9" t="inlineStr">
        <is>
          <t>DIAGNOSTIC</t>
        </is>
      </c>
      <c r="E63" s="9" t="inlineStr">
        <is>
          <t>τy↑ Common H-B 진단</t>
        </is>
      </c>
      <c r="F63" s="9" t="inlineStr">
        <is>
          <t>직접 비교가 가능한 구간의 외삽 항복응력.</t>
        </is>
      </c>
      <c r="G63" s="9" t="inlineStr">
        <is>
          <t>Pa</t>
        </is>
      </c>
      <c r="H63" s="9" t="inlineStr">
        <is>
          <t>0 / 1</t>
        </is>
      </c>
      <c r="I63" s="10" t="n">
        <v/>
      </c>
      <c r="J63" s="10" t="n">
        <v/>
      </c>
      <c r="K63" s="10" t="inlineStr"/>
      <c r="L63" s="10" t="n">
        <v/>
      </c>
      <c r="M63" s="10" t="n">
        <v/>
      </c>
      <c r="N63" s="10" t="n">
        <v/>
      </c>
      <c r="O63" s="10" t="n">
        <v/>
      </c>
      <c r="P63" s="9" t="inlineStr"/>
      <c r="Q63" s="9" t="inlineStr">
        <is>
          <t>INCLUSIVE</t>
        </is>
      </c>
      <c r="R63" s="9" t="n">
        <v>0</v>
      </c>
      <c r="S63" s="9" t="n">
        <v>0</v>
      </c>
      <c r="T63" s="9" t="n">
        <v>0</v>
      </c>
      <c r="U63" s="9" t="n">
        <v>0</v>
      </c>
      <c r="V63" s="9" t="inlineStr">
        <is>
          <t>-</t>
        </is>
      </c>
      <c r="W63" s="9" t="n"/>
      <c r="X63" s="9" t="n"/>
      <c r="Y63" s="11" t="inlineStr">
        <is>
          <t>N/A</t>
        </is>
      </c>
      <c r="Z63" s="9" t="inlineStr"/>
      <c r="AA63" s="9" t="inlineStr"/>
      <c r="AB63" s="9" t="inlineStr"/>
      <c r="AC63" s="9" t="inlineStr"/>
      <c r="AD63" s="9" t="inlineStr"/>
      <c r="AE63" s="9" t="inlineStr"/>
      <c r="AF63" s="9" t="inlineStr"/>
      <c r="AG63" s="9" t="inlineStr"/>
      <c r="AH63" s="9" t="inlineStr"/>
      <c r="AI63" s="9" t="inlineStr"/>
      <c r="AJ63" s="9" t="inlineStr"/>
      <c r="AK63" s="9" t="inlineStr"/>
      <c r="AL63" s="9" t="inlineStr"/>
      <c r="AM63" s="9" t="inlineStr"/>
      <c r="AN63" s="9" t="inlineStr"/>
      <c r="AO63" s="9" t="inlineStr"/>
      <c r="AP63" s="9" t="inlineStr"/>
      <c r="AQ63" s="9" t="inlineStr"/>
      <c r="AR63" s="9" t="inlineStr">
        <is>
          <t>No</t>
        </is>
      </c>
      <c r="AS63" s="9" t="inlineStr">
        <is>
          <t xml:space="preserve">Up Common: INVALID — 유효점 4개 미만 | Common H-B | Steps  | RPM  | n=0 | γ̇ </t>
        </is>
      </c>
      <c r="AT63" s="11" t="inlineStr">
        <is>
          <t>NO VALUE</t>
        </is>
      </c>
      <c r="AU63" s="11" t="inlineStr">
        <is>
          <t>NO VALUE</t>
        </is>
      </c>
      <c r="AV63" s="11" t="inlineStr">
        <is>
          <t>—</t>
        </is>
      </c>
      <c r="AW63" s="12" t="inlineStr">
        <is>
          <t>INCLUSIVE | NO VALUE | [NO VALUE] Up Common: INVALID — 유효점 4개 미만 | Common H-B | Steps  | RPM  | n=0 | γ̇  (01)</t>
        </is>
      </c>
    </row>
    <row r="64" ht="31" customHeight="1">
      <c r="B64" s="9" t="inlineStr">
        <is>
          <t>T3 모델·진단</t>
        </is>
      </c>
      <c r="C64" s="9" t="inlineStr">
        <is>
          <t>A_HB_K_UP_COMMON</t>
        </is>
      </c>
      <c r="D64" s="9" t="inlineStr">
        <is>
          <t>DIAGNOSTIC</t>
        </is>
      </c>
      <c r="E64" s="9" t="inlineStr">
        <is>
          <t>K↑ Common H-B 진단</t>
        </is>
      </c>
      <c r="F64" s="9" t="inlineStr">
        <is>
          <t>—</t>
        </is>
      </c>
      <c r="G64" s="9" t="inlineStr">
        <is>
          <t>Pa·sⁿ</t>
        </is>
      </c>
      <c r="H64" s="9" t="inlineStr">
        <is>
          <t>0 / 1</t>
        </is>
      </c>
      <c r="I64" s="14" t="n">
        <v/>
      </c>
      <c r="J64" s="14" t="n">
        <v/>
      </c>
      <c r="K64" s="10" t="inlineStr"/>
      <c r="L64" s="14" t="n">
        <v/>
      </c>
      <c r="M64" s="14" t="n">
        <v/>
      </c>
      <c r="N64" s="14" t="n">
        <v/>
      </c>
      <c r="O64" s="14" t="n">
        <v/>
      </c>
      <c r="P64" s="9" t="inlineStr"/>
      <c r="Q64" s="9" t="inlineStr">
        <is>
          <t>INCLUSIVE</t>
        </is>
      </c>
      <c r="R64" s="9" t="n">
        <v>0</v>
      </c>
      <c r="S64" s="9" t="n">
        <v>0</v>
      </c>
      <c r="T64" s="9" t="n">
        <v>0</v>
      </c>
      <c r="U64" s="9" t="n">
        <v>0</v>
      </c>
      <c r="V64" s="9" t="inlineStr">
        <is>
          <t>-</t>
        </is>
      </c>
      <c r="W64" s="9" t="n"/>
      <c r="X64" s="9" t="n"/>
      <c r="Y64" s="11" t="inlineStr">
        <is>
          <t>N/A</t>
        </is>
      </c>
      <c r="Z64" s="9" t="inlineStr"/>
      <c r="AA64" s="9" t="inlineStr"/>
      <c r="AB64" s="9" t="inlineStr"/>
      <c r="AC64" s="9" t="inlineStr"/>
      <c r="AD64" s="9" t="inlineStr"/>
      <c r="AE64" s="9" t="inlineStr"/>
      <c r="AF64" s="9" t="inlineStr"/>
      <c r="AG64" s="9" t="inlineStr"/>
      <c r="AH64" s="9" t="inlineStr"/>
      <c r="AI64" s="9" t="inlineStr"/>
      <c r="AJ64" s="9" t="inlineStr"/>
      <c r="AK64" s="9" t="inlineStr"/>
      <c r="AL64" s="9" t="inlineStr"/>
      <c r="AM64" s="9" t="inlineStr"/>
      <c r="AN64" s="9" t="inlineStr"/>
      <c r="AO64" s="9" t="inlineStr"/>
      <c r="AP64" s="9" t="inlineStr"/>
      <c r="AQ64" s="9" t="inlineStr"/>
      <c r="AR64" s="9" t="inlineStr">
        <is>
          <t>No</t>
        </is>
      </c>
      <c r="AS64" s="9" t="inlineStr">
        <is>
          <t xml:space="preserve">Up Common: INVALID — 유효점 4개 미만 | Common H-B | Steps  | RPM  | n=0 | γ̇ </t>
        </is>
      </c>
      <c r="AT64" s="11" t="inlineStr">
        <is>
          <t>NO VALUE</t>
        </is>
      </c>
      <c r="AU64" s="11" t="inlineStr">
        <is>
          <t>NO VALUE</t>
        </is>
      </c>
      <c r="AV64" s="11" t="inlineStr">
        <is>
          <t>—</t>
        </is>
      </c>
      <c r="AW64" s="12" t="inlineStr">
        <is>
          <t>INCLUSIVE | NO VALUE | [NO VALUE] Up Common: INVALID — 유효점 4개 미만 | Common H-B | Steps  | RPM  | n=0 | γ̇  (01)</t>
        </is>
      </c>
    </row>
    <row r="65" ht="31" customHeight="1">
      <c r="B65" s="9" t="inlineStr">
        <is>
          <t>T3 모델·진단</t>
        </is>
      </c>
      <c r="C65" s="9" t="inlineStr">
        <is>
          <t>A_HB_N_UP_COMMON</t>
        </is>
      </c>
      <c r="D65" s="9" t="inlineStr">
        <is>
          <t>DIAGNOSTIC</t>
        </is>
      </c>
      <c r="E65" s="9" t="inlineStr">
        <is>
          <t>n↑ Common H-B 진단</t>
        </is>
      </c>
      <c r="F65" s="9" t="inlineStr">
        <is>
          <t>—</t>
        </is>
      </c>
      <c r="G65" s="9" t="inlineStr">
        <is>
          <t>-</t>
        </is>
      </c>
      <c r="H65" s="9" t="inlineStr">
        <is>
          <t>0 / 1</t>
        </is>
      </c>
      <c r="I65" s="14" t="n">
        <v/>
      </c>
      <c r="J65" s="14" t="n">
        <v/>
      </c>
      <c r="K65" s="10" t="inlineStr"/>
      <c r="L65" s="14" t="n">
        <v/>
      </c>
      <c r="M65" s="14" t="n">
        <v/>
      </c>
      <c r="N65" s="14" t="n">
        <v/>
      </c>
      <c r="O65" s="14" t="n">
        <v/>
      </c>
      <c r="P65" s="9" t="inlineStr"/>
      <c r="Q65" s="9" t="inlineStr">
        <is>
          <t>INCLUSIVE</t>
        </is>
      </c>
      <c r="R65" s="9" t="n">
        <v>0</v>
      </c>
      <c r="S65" s="9" t="n">
        <v>0</v>
      </c>
      <c r="T65" s="9" t="n">
        <v>0</v>
      </c>
      <c r="U65" s="9" t="n">
        <v>0</v>
      </c>
      <c r="V65" s="9" t="inlineStr">
        <is>
          <t>-</t>
        </is>
      </c>
      <c r="W65" s="9" t="n"/>
      <c r="X65" s="9" t="n"/>
      <c r="Y65" s="11" t="inlineStr">
        <is>
          <t>N/A</t>
        </is>
      </c>
      <c r="Z65" s="9" t="inlineStr"/>
      <c r="AA65" s="9" t="inlineStr"/>
      <c r="AB65" s="9" t="inlineStr"/>
      <c r="AC65" s="9" t="inlineStr"/>
      <c r="AD65" s="9" t="inlineStr"/>
      <c r="AE65" s="9" t="inlineStr"/>
      <c r="AF65" s="9" t="inlineStr"/>
      <c r="AG65" s="9" t="inlineStr"/>
      <c r="AH65" s="9" t="inlineStr"/>
      <c r="AI65" s="9" t="inlineStr"/>
      <c r="AJ65" s="9" t="inlineStr"/>
      <c r="AK65" s="9" t="inlineStr"/>
      <c r="AL65" s="9" t="inlineStr"/>
      <c r="AM65" s="9" t="inlineStr"/>
      <c r="AN65" s="9" t="inlineStr"/>
      <c r="AO65" s="9" t="inlineStr"/>
      <c r="AP65" s="9" t="inlineStr"/>
      <c r="AQ65" s="9" t="inlineStr"/>
      <c r="AR65" s="9" t="inlineStr">
        <is>
          <t>No</t>
        </is>
      </c>
      <c r="AS65" s="9" t="inlineStr">
        <is>
          <t xml:space="preserve">Up Common: INVALID — 유효점 4개 미만 | Common H-B | Steps  | RPM  | n=0 | γ̇ </t>
        </is>
      </c>
      <c r="AT65" s="11" t="inlineStr">
        <is>
          <t>NO VALUE</t>
        </is>
      </c>
      <c r="AU65" s="11" t="inlineStr">
        <is>
          <t>NO VALUE</t>
        </is>
      </c>
      <c r="AV65" s="11" t="inlineStr">
        <is>
          <t>—</t>
        </is>
      </c>
      <c r="AW65" s="12" t="inlineStr">
        <is>
          <t>INCLUSIVE | NO VALUE | [NO VALUE] Up Common: INVALID — 유효점 4개 미만 | Common H-B | Steps  | RPM  | n=0 | γ̇  (01)</t>
        </is>
      </c>
    </row>
    <row r="66" ht="46.5" customHeight="1">
      <c r="B66" s="9" t="inlineStr">
        <is>
          <t>T3 모델·진단</t>
        </is>
      </c>
      <c r="C66" s="9" t="inlineStr">
        <is>
          <t>A_HB_R2_UP_COMMON</t>
        </is>
      </c>
      <c r="D66" s="9" t="inlineStr">
        <is>
          <t>DIAGNOSTIC</t>
        </is>
      </c>
      <c r="E66" s="9" t="inlineStr">
        <is>
          <t>R²↑ Common H-B 진단</t>
        </is>
      </c>
      <c r="F66" s="9" t="inlineStr">
        <is>
          <t>—</t>
        </is>
      </c>
      <c r="G66" s="9" t="inlineStr">
        <is>
          <t>-</t>
        </is>
      </c>
      <c r="H66" s="9" t="inlineStr">
        <is>
          <t>0 / 1</t>
        </is>
      </c>
      <c r="I66" s="14" t="n">
        <v/>
      </c>
      <c r="J66" s="14" t="n">
        <v/>
      </c>
      <c r="K66" s="10" t="inlineStr"/>
      <c r="L66" s="14" t="n">
        <v/>
      </c>
      <c r="M66" s="14" t="n">
        <v/>
      </c>
      <c r="N66" s="14" t="n">
        <v/>
      </c>
      <c r="O66" s="14" t="n">
        <v/>
      </c>
      <c r="P66" s="9" t="inlineStr"/>
      <c r="Q66" s="9" t="inlineStr">
        <is>
          <t>INCLUSIVE</t>
        </is>
      </c>
      <c r="R66" s="9" t="n">
        <v>0</v>
      </c>
      <c r="S66" s="9" t="n">
        <v>0</v>
      </c>
      <c r="T66" s="9" t="n">
        <v>0</v>
      </c>
      <c r="U66" s="9" t="n">
        <v>0</v>
      </c>
      <c r="V66" s="9" t="inlineStr">
        <is>
          <t>-</t>
        </is>
      </c>
      <c r="W66" s="9" t="n"/>
      <c r="X66" s="9" t="n"/>
      <c r="Y66" s="11" t="inlineStr">
        <is>
          <t>N/A</t>
        </is>
      </c>
      <c r="Z66" s="9" t="inlineStr"/>
      <c r="AA66" s="9" t="inlineStr"/>
      <c r="AB66" s="9" t="inlineStr"/>
      <c r="AC66" s="9" t="inlineStr"/>
      <c r="AD66" s="9" t="inlineStr"/>
      <c r="AE66" s="9" t="inlineStr"/>
      <c r="AF66" s="9" t="inlineStr"/>
      <c r="AG66" s="9" t="inlineStr"/>
      <c r="AH66" s="9" t="inlineStr"/>
      <c r="AI66" s="9" t="inlineStr"/>
      <c r="AJ66" s="9" t="inlineStr"/>
      <c r="AK66" s="9" t="inlineStr"/>
      <c r="AL66" s="9" t="inlineStr"/>
      <c r="AM66" s="9" t="inlineStr"/>
      <c r="AN66" s="9" t="inlineStr"/>
      <c r="AO66" s="9" t="inlineStr"/>
      <c r="AP66" s="9" t="inlineStr"/>
      <c r="AQ66" s="9" t="inlineStr"/>
      <c r="AR66" s="9" t="inlineStr">
        <is>
          <t>No</t>
        </is>
      </c>
      <c r="AS66" s="9" t="inlineStr">
        <is>
          <t xml:space="preserve">Up Common: INVALID — 유효점 4개 미만 — 피팅 진단값, Lot 판정 제외 | Common H-B | Steps  | RPM  | n=0 | γ̇ </t>
        </is>
      </c>
      <c r="AT66" s="11" t="inlineStr">
        <is>
          <t>NO VALUE</t>
        </is>
      </c>
      <c r="AU66" s="11" t="inlineStr">
        <is>
          <t>NO VALUE</t>
        </is>
      </c>
      <c r="AV66" s="11" t="inlineStr">
        <is>
          <t>—</t>
        </is>
      </c>
      <c r="AW66" s="12" t="inlineStr">
        <is>
          <t>INCLUSIVE | NO VALUE | [NO VALUE] Up Common: INVALID — 유효점 4개 미만 — 피팅 진단값, Lot 판정 제외 | Common H-B | Steps  | RPM  | n=0 | γ̇  (01)</t>
        </is>
      </c>
    </row>
    <row r="67" ht="31" customHeight="1">
      <c r="B67" s="9" t="inlineStr">
        <is>
          <t>T3 모델·진단</t>
        </is>
      </c>
      <c r="C67" s="9" t="inlineStr">
        <is>
          <t>A_HB_TAUY_DN_COMMON</t>
        </is>
      </c>
      <c r="D67" s="9" t="inlineStr">
        <is>
          <t>DIAGNOSTIC</t>
        </is>
      </c>
      <c r="E67" s="9" t="inlineStr">
        <is>
          <t>τy↓ Common H-B 진단</t>
        </is>
      </c>
      <c r="F67" s="9" t="inlineStr">
        <is>
          <t>—</t>
        </is>
      </c>
      <c r="G67" s="9" t="inlineStr">
        <is>
          <t>Pa</t>
        </is>
      </c>
      <c r="H67" s="9" t="inlineStr">
        <is>
          <t>0 / 1</t>
        </is>
      </c>
      <c r="I67" s="10" t="n">
        <v/>
      </c>
      <c r="J67" s="10" t="n">
        <v/>
      </c>
      <c r="K67" s="10" t="inlineStr"/>
      <c r="L67" s="10" t="n">
        <v/>
      </c>
      <c r="M67" s="10" t="n">
        <v/>
      </c>
      <c r="N67" s="10" t="n">
        <v/>
      </c>
      <c r="O67" s="10" t="n">
        <v/>
      </c>
      <c r="P67" s="9" t="inlineStr"/>
      <c r="Q67" s="9" t="inlineStr">
        <is>
          <t>INCLUSIVE</t>
        </is>
      </c>
      <c r="R67" s="9" t="n">
        <v>0</v>
      </c>
      <c r="S67" s="9" t="n">
        <v>0</v>
      </c>
      <c r="T67" s="9" t="n">
        <v>0</v>
      </c>
      <c r="U67" s="9" t="n">
        <v>0</v>
      </c>
      <c r="V67" s="9" t="inlineStr">
        <is>
          <t>-</t>
        </is>
      </c>
      <c r="W67" s="9" t="n"/>
      <c r="X67" s="9" t="n"/>
      <c r="Y67" s="11" t="inlineStr">
        <is>
          <t>N/A</t>
        </is>
      </c>
      <c r="Z67" s="9" t="inlineStr"/>
      <c r="AA67" s="9" t="inlineStr"/>
      <c r="AB67" s="9" t="inlineStr"/>
      <c r="AC67" s="9" t="inlineStr"/>
      <c r="AD67" s="9" t="inlineStr"/>
      <c r="AE67" s="9" t="inlineStr"/>
      <c r="AF67" s="9" t="inlineStr"/>
      <c r="AG67" s="9" t="inlineStr"/>
      <c r="AH67" s="9" t="inlineStr"/>
      <c r="AI67" s="9" t="inlineStr"/>
      <c r="AJ67" s="9" t="inlineStr"/>
      <c r="AK67" s="9" t="inlineStr"/>
      <c r="AL67" s="9" t="inlineStr"/>
      <c r="AM67" s="9" t="inlineStr"/>
      <c r="AN67" s="9" t="inlineStr"/>
      <c r="AO67" s="9" t="inlineStr"/>
      <c r="AP67" s="9" t="inlineStr"/>
      <c r="AQ67" s="9" t="inlineStr"/>
      <c r="AR67" s="9" t="inlineStr">
        <is>
          <t>No</t>
        </is>
      </c>
      <c r="AS67" s="9" t="inlineStr">
        <is>
          <t xml:space="preserve">Down Common: INVALID — 유효점 4개 미만 | Common H-B | Steps  | RPM  | n=0 | γ̇ </t>
        </is>
      </c>
      <c r="AT67" s="11" t="inlineStr">
        <is>
          <t>NO VALUE</t>
        </is>
      </c>
      <c r="AU67" s="11" t="inlineStr">
        <is>
          <t>NO VALUE</t>
        </is>
      </c>
      <c r="AV67" s="11" t="inlineStr">
        <is>
          <t>—</t>
        </is>
      </c>
      <c r="AW67" s="12" t="inlineStr">
        <is>
          <t>INCLUSIVE | NO VALUE | [NO VALUE] Down Common: INVALID — 유효점 4개 미만 | Common H-B | Steps  | RPM  | n=0 | γ̇  (01)</t>
        </is>
      </c>
    </row>
    <row r="68" ht="31" customHeight="1">
      <c r="B68" s="9" t="inlineStr">
        <is>
          <t>T3 모델·진단</t>
        </is>
      </c>
      <c r="C68" s="9" t="inlineStr">
        <is>
          <t>A_HB_K_DN_COMMON</t>
        </is>
      </c>
      <c r="D68" s="9" t="inlineStr">
        <is>
          <t>DIAGNOSTIC</t>
        </is>
      </c>
      <c r="E68" s="9" t="inlineStr">
        <is>
          <t>K↓ Common H-B 진단</t>
        </is>
      </c>
      <c r="F68" s="9" t="inlineStr">
        <is>
          <t>—</t>
        </is>
      </c>
      <c r="G68" s="9" t="inlineStr">
        <is>
          <t>Pa·sⁿ</t>
        </is>
      </c>
      <c r="H68" s="9" t="inlineStr">
        <is>
          <t>0 / 1</t>
        </is>
      </c>
      <c r="I68" s="14" t="n">
        <v/>
      </c>
      <c r="J68" s="14" t="n">
        <v/>
      </c>
      <c r="K68" s="10" t="inlineStr"/>
      <c r="L68" s="14" t="n">
        <v/>
      </c>
      <c r="M68" s="14" t="n">
        <v/>
      </c>
      <c r="N68" s="14" t="n">
        <v/>
      </c>
      <c r="O68" s="14" t="n">
        <v/>
      </c>
      <c r="P68" s="9" t="inlineStr"/>
      <c r="Q68" s="9" t="inlineStr">
        <is>
          <t>INCLUSIVE</t>
        </is>
      </c>
      <c r="R68" s="9" t="n">
        <v>0</v>
      </c>
      <c r="S68" s="9" t="n">
        <v>0</v>
      </c>
      <c r="T68" s="9" t="n">
        <v>0</v>
      </c>
      <c r="U68" s="9" t="n">
        <v>0</v>
      </c>
      <c r="V68" s="9" t="inlineStr">
        <is>
          <t>-</t>
        </is>
      </c>
      <c r="W68" s="9" t="n"/>
      <c r="X68" s="9" t="n"/>
      <c r="Y68" s="11" t="inlineStr">
        <is>
          <t>N/A</t>
        </is>
      </c>
      <c r="Z68" s="9" t="inlineStr"/>
      <c r="AA68" s="9" t="inlineStr"/>
      <c r="AB68" s="9" t="inlineStr"/>
      <c r="AC68" s="9" t="inlineStr"/>
      <c r="AD68" s="9" t="inlineStr"/>
      <c r="AE68" s="9" t="inlineStr"/>
      <c r="AF68" s="9" t="inlineStr"/>
      <c r="AG68" s="9" t="inlineStr"/>
      <c r="AH68" s="9" t="inlineStr"/>
      <c r="AI68" s="9" t="inlineStr"/>
      <c r="AJ68" s="9" t="inlineStr"/>
      <c r="AK68" s="9" t="inlineStr"/>
      <c r="AL68" s="9" t="inlineStr"/>
      <c r="AM68" s="9" t="inlineStr"/>
      <c r="AN68" s="9" t="inlineStr"/>
      <c r="AO68" s="9" t="inlineStr"/>
      <c r="AP68" s="9" t="inlineStr"/>
      <c r="AQ68" s="9" t="inlineStr"/>
      <c r="AR68" s="9" t="inlineStr">
        <is>
          <t>No</t>
        </is>
      </c>
      <c r="AS68" s="9" t="inlineStr">
        <is>
          <t xml:space="preserve">Down Common: INVALID — 유효점 4개 미만 | Common H-B | Steps  | RPM  | n=0 | γ̇ </t>
        </is>
      </c>
      <c r="AT68" s="11" t="inlineStr">
        <is>
          <t>NO VALUE</t>
        </is>
      </c>
      <c r="AU68" s="11" t="inlineStr">
        <is>
          <t>NO VALUE</t>
        </is>
      </c>
      <c r="AV68" s="11" t="inlineStr">
        <is>
          <t>—</t>
        </is>
      </c>
      <c r="AW68" s="12" t="inlineStr">
        <is>
          <t>INCLUSIVE | NO VALUE | [NO VALUE] Down Common: INVALID — 유효점 4개 미만 | Common H-B | Steps  | RPM  | n=0 | γ̇  (01)</t>
        </is>
      </c>
    </row>
    <row r="69" ht="31" customHeight="1">
      <c r="B69" s="9" t="inlineStr">
        <is>
          <t>T3 모델·진단</t>
        </is>
      </c>
      <c r="C69" s="9" t="inlineStr">
        <is>
          <t>A_HB_N_DN_COMMON</t>
        </is>
      </c>
      <c r="D69" s="9" t="inlineStr">
        <is>
          <t>DIAGNOSTIC</t>
        </is>
      </c>
      <c r="E69" s="9" t="inlineStr">
        <is>
          <t>n↓ Common H-B 진단</t>
        </is>
      </c>
      <c r="F69" s="9" t="inlineStr">
        <is>
          <t>—</t>
        </is>
      </c>
      <c r="G69" s="9" t="inlineStr">
        <is>
          <t>-</t>
        </is>
      </c>
      <c r="H69" s="9" t="inlineStr">
        <is>
          <t>0 / 1</t>
        </is>
      </c>
      <c r="I69" s="14" t="n">
        <v/>
      </c>
      <c r="J69" s="14" t="n">
        <v/>
      </c>
      <c r="K69" s="10" t="inlineStr"/>
      <c r="L69" s="14" t="n">
        <v/>
      </c>
      <c r="M69" s="14" t="n">
        <v/>
      </c>
      <c r="N69" s="14" t="n">
        <v/>
      </c>
      <c r="O69" s="14" t="n">
        <v/>
      </c>
      <c r="P69" s="9" t="inlineStr"/>
      <c r="Q69" s="9" t="inlineStr">
        <is>
          <t>INCLUSIVE</t>
        </is>
      </c>
      <c r="R69" s="9" t="n">
        <v>0</v>
      </c>
      <c r="S69" s="9" t="n">
        <v>0</v>
      </c>
      <c r="T69" s="9" t="n">
        <v>0</v>
      </c>
      <c r="U69" s="9" t="n">
        <v>0</v>
      </c>
      <c r="V69" s="9" t="inlineStr">
        <is>
          <t>-</t>
        </is>
      </c>
      <c r="W69" s="9" t="n"/>
      <c r="X69" s="9" t="n"/>
      <c r="Y69" s="11" t="inlineStr">
        <is>
          <t>N/A</t>
        </is>
      </c>
      <c r="Z69" s="9" t="inlineStr"/>
      <c r="AA69" s="9" t="inlineStr"/>
      <c r="AB69" s="9" t="inlineStr"/>
      <c r="AC69" s="9" t="inlineStr"/>
      <c r="AD69" s="9" t="inlineStr"/>
      <c r="AE69" s="9" t="inlineStr"/>
      <c r="AF69" s="9" t="inlineStr"/>
      <c r="AG69" s="9" t="inlineStr"/>
      <c r="AH69" s="9" t="inlineStr"/>
      <c r="AI69" s="9" t="inlineStr"/>
      <c r="AJ69" s="9" t="inlineStr"/>
      <c r="AK69" s="9" t="inlineStr"/>
      <c r="AL69" s="9" t="inlineStr"/>
      <c r="AM69" s="9" t="inlineStr"/>
      <c r="AN69" s="9" t="inlineStr"/>
      <c r="AO69" s="9" t="inlineStr"/>
      <c r="AP69" s="9" t="inlineStr"/>
      <c r="AQ69" s="9" t="inlineStr"/>
      <c r="AR69" s="9" t="inlineStr">
        <is>
          <t>No</t>
        </is>
      </c>
      <c r="AS69" s="9" t="inlineStr">
        <is>
          <t xml:space="preserve">Down Common: INVALID — 유효점 4개 미만 | Common H-B | Steps  | RPM  | n=0 | γ̇ </t>
        </is>
      </c>
      <c r="AT69" s="11" t="inlineStr">
        <is>
          <t>NO VALUE</t>
        </is>
      </c>
      <c r="AU69" s="11" t="inlineStr">
        <is>
          <t>NO VALUE</t>
        </is>
      </c>
      <c r="AV69" s="11" t="inlineStr">
        <is>
          <t>—</t>
        </is>
      </c>
      <c r="AW69" s="12" t="inlineStr">
        <is>
          <t>INCLUSIVE | NO VALUE | [NO VALUE] Down Common: INVALID — 유효점 4개 미만 | Common H-B | Steps  | RPM  | n=0 | γ̇  (01)</t>
        </is>
      </c>
    </row>
    <row r="70" ht="46.5" customHeight="1">
      <c r="B70" s="9" t="inlineStr">
        <is>
          <t>T3 모델·진단</t>
        </is>
      </c>
      <c r="C70" s="9" t="inlineStr">
        <is>
          <t>A_HB_R2_DN_COMMON</t>
        </is>
      </c>
      <c r="D70" s="9" t="inlineStr">
        <is>
          <t>DIAGNOSTIC</t>
        </is>
      </c>
      <c r="E70" s="9" t="inlineStr">
        <is>
          <t>R²↓ Common H-B 진단</t>
        </is>
      </c>
      <c r="F70" s="9" t="inlineStr">
        <is>
          <t>—</t>
        </is>
      </c>
      <c r="G70" s="9" t="inlineStr">
        <is>
          <t>-</t>
        </is>
      </c>
      <c r="H70" s="9" t="inlineStr">
        <is>
          <t>0 / 1</t>
        </is>
      </c>
      <c r="I70" s="14" t="n">
        <v/>
      </c>
      <c r="J70" s="14" t="n">
        <v/>
      </c>
      <c r="K70" s="10" t="inlineStr"/>
      <c r="L70" s="14" t="n">
        <v/>
      </c>
      <c r="M70" s="14" t="n">
        <v/>
      </c>
      <c r="N70" s="14" t="n">
        <v/>
      </c>
      <c r="O70" s="14" t="n">
        <v/>
      </c>
      <c r="P70" s="9" t="inlineStr"/>
      <c r="Q70" s="9" t="inlineStr">
        <is>
          <t>INCLUSIVE</t>
        </is>
      </c>
      <c r="R70" s="9" t="n">
        <v>0</v>
      </c>
      <c r="S70" s="9" t="n">
        <v>0</v>
      </c>
      <c r="T70" s="9" t="n">
        <v>0</v>
      </c>
      <c r="U70" s="9" t="n">
        <v>0</v>
      </c>
      <c r="V70" s="9" t="inlineStr">
        <is>
          <t>-</t>
        </is>
      </c>
      <c r="W70" s="9" t="n"/>
      <c r="X70" s="9" t="n"/>
      <c r="Y70" s="11" t="inlineStr">
        <is>
          <t>N/A</t>
        </is>
      </c>
      <c r="Z70" s="9" t="inlineStr"/>
      <c r="AA70" s="9" t="inlineStr"/>
      <c r="AB70" s="9" t="inlineStr"/>
      <c r="AC70" s="9" t="inlineStr"/>
      <c r="AD70" s="9" t="inlineStr"/>
      <c r="AE70" s="9" t="inlineStr"/>
      <c r="AF70" s="9" t="inlineStr"/>
      <c r="AG70" s="9" t="inlineStr"/>
      <c r="AH70" s="9" t="inlineStr"/>
      <c r="AI70" s="9" t="inlineStr"/>
      <c r="AJ70" s="9" t="inlineStr"/>
      <c r="AK70" s="9" t="inlineStr"/>
      <c r="AL70" s="9" t="inlineStr"/>
      <c r="AM70" s="9" t="inlineStr"/>
      <c r="AN70" s="9" t="inlineStr"/>
      <c r="AO70" s="9" t="inlineStr"/>
      <c r="AP70" s="9" t="inlineStr"/>
      <c r="AQ70" s="9" t="inlineStr"/>
      <c r="AR70" s="9" t="inlineStr">
        <is>
          <t>No</t>
        </is>
      </c>
      <c r="AS70" s="9" t="inlineStr">
        <is>
          <t xml:space="preserve">Down Common: INVALID — 유효점 4개 미만 — 피팅 진단값, Lot 판정 제외 | Common H-B | Steps  | RPM  | n=0 | γ̇ </t>
        </is>
      </c>
      <c r="AT70" s="11" t="inlineStr">
        <is>
          <t>NO VALUE</t>
        </is>
      </c>
      <c r="AU70" s="11" t="inlineStr">
        <is>
          <t>NO VALUE</t>
        </is>
      </c>
      <c r="AV70" s="11" t="inlineStr">
        <is>
          <t>—</t>
        </is>
      </c>
      <c r="AW70" s="12" t="inlineStr">
        <is>
          <t>INCLUSIVE | NO VALUE | [NO VALUE] Down Common: INVALID — 유효점 4개 미만 — 피팅 진단값, Lot 판정 제외 | Common H-B | Steps  | RPM  | n=0 | γ̇  (01)</t>
        </is>
      </c>
    </row>
    <row r="71" ht="46.5" customHeight="1">
      <c r="B71" s="9" t="inlineStr">
        <is>
          <t>T3 모델·진단</t>
        </is>
      </c>
      <c r="C71" s="9" t="inlineStr">
        <is>
          <t>A_HB_TAUY_RATIO_COMMON</t>
        </is>
      </c>
      <c r="D71" s="9" t="inlineStr">
        <is>
          <t>DIAGNOSTIC</t>
        </is>
      </c>
      <c r="E71" s="9" t="inlineStr">
        <is>
          <t>τy 유지비 Common 진단</t>
        </is>
      </c>
      <c r="F71" s="9" t="inlineStr">
        <is>
          <t>공통 구간만의 항복응력 유지비.</t>
        </is>
      </c>
      <c r="G71" s="9" t="inlineStr">
        <is>
          <t>%</t>
        </is>
      </c>
      <c r="H71" s="9" t="inlineStr">
        <is>
          <t>0 / 1</t>
        </is>
      </c>
      <c r="I71" s="10" t="n">
        <v/>
      </c>
      <c r="J71" s="10" t="n">
        <v/>
      </c>
      <c r="K71" s="10" t="inlineStr"/>
      <c r="L71" s="10" t="n">
        <v/>
      </c>
      <c r="M71" s="10" t="n">
        <v/>
      </c>
      <c r="N71" s="10" t="n">
        <v/>
      </c>
      <c r="O71" s="10" t="n">
        <v/>
      </c>
      <c r="P71" s="9" t="inlineStr"/>
      <c r="Q71" s="9" t="inlineStr">
        <is>
          <t>INCLUSIVE</t>
        </is>
      </c>
      <c r="R71" s="9" t="n">
        <v>0</v>
      </c>
      <c r="S71" s="9" t="n">
        <v>0</v>
      </c>
      <c r="T71" s="9" t="n">
        <v>0</v>
      </c>
      <c r="U71" s="9" t="n">
        <v>0</v>
      </c>
      <c r="V71" s="9" t="inlineStr">
        <is>
          <t>-</t>
        </is>
      </c>
      <c r="W71" s="9" t="n"/>
      <c r="X71" s="9" t="n"/>
      <c r="Y71" s="11" t="inlineStr">
        <is>
          <t>N/A</t>
        </is>
      </c>
      <c r="Z71" s="9" t="inlineStr"/>
      <c r="AA71" s="9" t="inlineStr"/>
      <c r="AB71" s="9" t="inlineStr"/>
      <c r="AC71" s="9" t="inlineStr"/>
      <c r="AD71" s="9" t="inlineStr"/>
      <c r="AE71" s="9" t="inlineStr"/>
      <c r="AF71" s="9" t="inlineStr"/>
      <c r="AG71" s="9" t="inlineStr"/>
      <c r="AH71" s="9" t="inlineStr"/>
      <c r="AI71" s="9" t="inlineStr"/>
      <c r="AJ71" s="9" t="inlineStr"/>
      <c r="AK71" s="9" t="inlineStr"/>
      <c r="AL71" s="9" t="inlineStr"/>
      <c r="AM71" s="9" t="inlineStr"/>
      <c r="AN71" s="9" t="inlineStr"/>
      <c r="AO71" s="9" t="inlineStr"/>
      <c r="AP71" s="9" t="inlineStr"/>
      <c r="AQ71" s="9" t="inlineStr"/>
      <c r="AR71" s="9" t="inlineStr">
        <is>
          <t>No</t>
        </is>
      </c>
      <c r="AS71" s="9" t="inlineStr">
        <is>
          <t xml:space="preserve">Up Common: INVALID — 유효점 4개 미만 | Common H-B | Steps  | RPM  | n=0 | γ̇ ; Down Common: INVALID — 유효점 4개 미만 | Common H-B | Steps  | RPM  | n=0 | γ̇ </t>
        </is>
      </c>
      <c r="AT71" s="11" t="inlineStr">
        <is>
          <t>NO VALUE</t>
        </is>
      </c>
      <c r="AU71" s="11" t="inlineStr">
        <is>
          <t>NO VALUE</t>
        </is>
      </c>
      <c r="AV71" s="11" t="inlineStr">
        <is>
          <t>—</t>
        </is>
      </c>
      <c r="AW71" s="12" t="inlineStr">
        <is>
          <t>INCLUSIVE | NO VALUE | [NO VALUE] Up Common: INVALID — 유효점 4개 미만 | Common H-B | Steps  | RPM  | n=0 | γ̇ ; Down Common: INVALID — 유효점 4개 미만 | Common H-B | Steps  | RPM  | n=0 | γ̇  (01)</t>
        </is>
      </c>
    </row>
    <row r="72" ht="31" customHeight="1">
      <c r="B72" s="9" t="inlineStr">
        <is>
          <t>T3 모델·진단</t>
        </is>
      </c>
      <c r="C72" s="9" t="inlineStr">
        <is>
          <t>A_STARTUP_PLATEAU_UP</t>
        </is>
      </c>
      <c r="D72" s="9" t="inlineStr">
        <is>
          <t>DIAGNOSTIC</t>
        </is>
      </c>
      <c r="E72" s="9" t="inlineStr">
        <is>
          <t>상승 저전단 plateau 응력</t>
        </is>
      </c>
      <c r="F72" s="9" t="inlineStr">
        <is>
          <t>start-up 이후 안정 응력. peak와 다르다.</t>
        </is>
      </c>
      <c r="G72" s="9" t="inlineStr">
        <is>
          <t>Pa</t>
        </is>
      </c>
      <c r="H72" s="9" t="inlineStr">
        <is>
          <t>0 / 1</t>
        </is>
      </c>
      <c r="I72" s="10" t="n">
        <v/>
      </c>
      <c r="J72" s="10" t="n">
        <v/>
      </c>
      <c r="K72" s="10" t="inlineStr"/>
      <c r="L72" s="10" t="n">
        <v/>
      </c>
      <c r="M72" s="10" t="n">
        <v/>
      </c>
      <c r="N72" s="10" t="n">
        <v/>
      </c>
      <c r="O72" s="10" t="n">
        <v/>
      </c>
      <c r="P72" s="9" t="inlineStr"/>
      <c r="Q72" s="9" t="inlineStr">
        <is>
          <t>INCLUSIVE</t>
        </is>
      </c>
      <c r="R72" s="9" t="n">
        <v>0</v>
      </c>
      <c r="S72" s="9" t="n">
        <v>0</v>
      </c>
      <c r="T72" s="9" t="n">
        <v>0</v>
      </c>
      <c r="U72" s="9" t="n">
        <v>0</v>
      </c>
      <c r="V72" s="9" t="inlineStr">
        <is>
          <t>-</t>
        </is>
      </c>
      <c r="W72" s="9" t="n"/>
      <c r="X72" s="9" t="n"/>
      <c r="Y72" s="11" t="inlineStr">
        <is>
          <t>N/A</t>
        </is>
      </c>
      <c r="Z72" s="9" t="inlineStr"/>
      <c r="AA72" s="9" t="inlineStr"/>
      <c r="AB72" s="9" t="inlineStr"/>
      <c r="AC72" s="9" t="inlineStr"/>
      <c r="AD72" s="9" t="inlineStr"/>
      <c r="AE72" s="9" t="inlineStr"/>
      <c r="AF72" s="9" t="inlineStr"/>
      <c r="AG72" s="9" t="inlineStr"/>
      <c r="AH72" s="9" t="inlineStr"/>
      <c r="AI72" s="9" t="inlineStr"/>
      <c r="AJ72" s="9" t="inlineStr"/>
      <c r="AK72" s="9" t="inlineStr"/>
      <c r="AL72" s="9" t="inlineStr"/>
      <c r="AM72" s="9" t="inlineStr"/>
      <c r="AN72" s="9" t="inlineStr"/>
      <c r="AO72" s="9" t="inlineStr"/>
      <c r="AP72" s="9" t="inlineStr"/>
      <c r="AQ72" s="9" t="inlineStr"/>
      <c r="AR72" s="9" t="inlineStr">
        <is>
          <t>No</t>
        </is>
      </c>
      <c r="AS72" s="9" t="inlineStr">
        <is>
          <t>start-up profile 없음</t>
        </is>
      </c>
      <c r="AT72" s="11" t="inlineStr">
        <is>
          <t>NO VALUE</t>
        </is>
      </c>
      <c r="AU72" s="11" t="inlineStr">
        <is>
          <t>NO VALUE</t>
        </is>
      </c>
      <c r="AV72" s="11" t="inlineStr">
        <is>
          <t>—</t>
        </is>
      </c>
      <c r="AW72" s="12" t="inlineStr">
        <is>
          <t>INCLUSIVE | NO VALUE | [NO VALUE] start-up profile 없음 (01)</t>
        </is>
      </c>
    </row>
    <row r="73" ht="15.5" customHeight="1">
      <c r="B73" s="9" t="inlineStr">
        <is>
          <t>T3 모델·진단</t>
        </is>
      </c>
      <c r="C73" s="9" t="inlineStr">
        <is>
          <t>A_POST_SHEAR_PLATEAU</t>
        </is>
      </c>
      <c r="D73" s="9" t="inlineStr">
        <is>
          <t>DIAGNOSTIC</t>
        </is>
      </c>
      <c r="E73" s="9" t="inlineStr">
        <is>
          <t>하강 저전단 plateau 응력</t>
        </is>
      </c>
      <c r="F73" s="9" t="inlineStr">
        <is>
          <t>이력 후 안정 응력.</t>
        </is>
      </c>
      <c r="G73" s="9" t="inlineStr">
        <is>
          <t>Pa</t>
        </is>
      </c>
      <c r="H73" s="9" t="inlineStr">
        <is>
          <t>0 / 1</t>
        </is>
      </c>
      <c r="I73" s="10" t="n">
        <v/>
      </c>
      <c r="J73" s="10" t="n">
        <v/>
      </c>
      <c r="K73" s="10" t="inlineStr"/>
      <c r="L73" s="10" t="n">
        <v/>
      </c>
      <c r="M73" s="10" t="n">
        <v/>
      </c>
      <c r="N73" s="10" t="n">
        <v/>
      </c>
      <c r="O73" s="10" t="n">
        <v/>
      </c>
      <c r="P73" s="9" t="inlineStr"/>
      <c r="Q73" s="9" t="inlineStr">
        <is>
          <t>INCLUSIVE</t>
        </is>
      </c>
      <c r="R73" s="9" t="n">
        <v>0</v>
      </c>
      <c r="S73" s="9" t="n">
        <v>0</v>
      </c>
      <c r="T73" s="9" t="n">
        <v>0</v>
      </c>
      <c r="U73" s="9" t="n">
        <v>0</v>
      </c>
      <c r="V73" s="9" t="inlineStr">
        <is>
          <t>-</t>
        </is>
      </c>
      <c r="W73" s="9" t="n"/>
      <c r="X73" s="9" t="n"/>
      <c r="Y73" s="11" t="inlineStr">
        <is>
          <t>N/A</t>
        </is>
      </c>
      <c r="Z73" s="9" t="inlineStr"/>
      <c r="AA73" s="9" t="inlineStr"/>
      <c r="AB73" s="9" t="inlineStr"/>
      <c r="AC73" s="9" t="inlineStr"/>
      <c r="AD73" s="9" t="inlineStr"/>
      <c r="AE73" s="9" t="inlineStr"/>
      <c r="AF73" s="9" t="inlineStr"/>
      <c r="AG73" s="9" t="inlineStr"/>
      <c r="AH73" s="9" t="inlineStr"/>
      <c r="AI73" s="9" t="inlineStr"/>
      <c r="AJ73" s="9" t="inlineStr"/>
      <c r="AK73" s="9" t="inlineStr"/>
      <c r="AL73" s="9" t="inlineStr"/>
      <c r="AM73" s="9" t="inlineStr"/>
      <c r="AN73" s="9" t="inlineStr"/>
      <c r="AO73" s="9" t="inlineStr"/>
      <c r="AP73" s="9" t="inlineStr"/>
      <c r="AQ73" s="9" t="inlineStr"/>
      <c r="AR73" s="9" t="inlineStr">
        <is>
          <t>No</t>
        </is>
      </c>
      <c r="AS73" s="9" t="inlineStr">
        <is>
          <t>start-up profile 없음</t>
        </is>
      </c>
      <c r="AT73" s="11" t="inlineStr">
        <is>
          <t>NO VALUE</t>
        </is>
      </c>
      <c r="AU73" s="11" t="inlineStr">
        <is>
          <t>NO VALUE</t>
        </is>
      </c>
      <c r="AV73" s="11" t="inlineStr">
        <is>
          <t>—</t>
        </is>
      </c>
      <c r="AW73" s="12" t="inlineStr">
        <is>
          <t>INCLUSIVE | NO VALUE | [NO VALUE] start-up profile 없음 (01)</t>
        </is>
      </c>
    </row>
    <row r="74" ht="31" customHeight="1">
      <c r="B74" s="9" t="inlineStr">
        <is>
          <t>T3 모델·진단</t>
        </is>
      </c>
      <c r="C74" s="9" t="inlineStr">
        <is>
          <t>A_PLATEAU_RETENTION</t>
        </is>
      </c>
      <c r="D74" s="9" t="inlineStr">
        <is>
          <t>DIAGNOSTIC</t>
        </is>
      </c>
      <c r="E74" s="9" t="inlineStr">
        <is>
          <t>plateau 유지율</t>
        </is>
      </c>
      <c r="F74" s="9" t="inlineStr">
        <is>
          <t>안정 응력의 유지. peak retention과 다르다.</t>
        </is>
      </c>
      <c r="G74" s="9" t="inlineStr">
        <is>
          <t>%</t>
        </is>
      </c>
      <c r="H74" s="9" t="inlineStr">
        <is>
          <t>0 / 1</t>
        </is>
      </c>
      <c r="I74" s="10" t="n">
        <v/>
      </c>
      <c r="J74" s="10" t="n">
        <v/>
      </c>
      <c r="K74" s="10" t="inlineStr"/>
      <c r="L74" s="10" t="n">
        <v/>
      </c>
      <c r="M74" s="10" t="n">
        <v/>
      </c>
      <c r="N74" s="10" t="n">
        <v/>
      </c>
      <c r="O74" s="10" t="n">
        <v/>
      </c>
      <c r="P74" s="9" t="inlineStr"/>
      <c r="Q74" s="9" t="inlineStr">
        <is>
          <t>INCLUSIVE</t>
        </is>
      </c>
      <c r="R74" s="9" t="n">
        <v>0</v>
      </c>
      <c r="S74" s="9" t="n">
        <v>0</v>
      </c>
      <c r="T74" s="9" t="n">
        <v>0</v>
      </c>
      <c r="U74" s="9" t="n">
        <v>0</v>
      </c>
      <c r="V74" s="9" t="inlineStr">
        <is>
          <t>-</t>
        </is>
      </c>
      <c r="W74" s="9" t="n"/>
      <c r="X74" s="9" t="n"/>
      <c r="Y74" s="11" t="inlineStr">
        <is>
          <t>N/A</t>
        </is>
      </c>
      <c r="Z74" s="9" t="inlineStr"/>
      <c r="AA74" s="9" t="inlineStr"/>
      <c r="AB74" s="9" t="inlineStr"/>
      <c r="AC74" s="9" t="inlineStr"/>
      <c r="AD74" s="9" t="inlineStr"/>
      <c r="AE74" s="9" t="inlineStr"/>
      <c r="AF74" s="9" t="inlineStr"/>
      <c r="AG74" s="9" t="inlineStr"/>
      <c r="AH74" s="9" t="inlineStr"/>
      <c r="AI74" s="9" t="inlineStr"/>
      <c r="AJ74" s="9" t="inlineStr"/>
      <c r="AK74" s="9" t="inlineStr"/>
      <c r="AL74" s="9" t="inlineStr"/>
      <c r="AM74" s="9" t="inlineStr"/>
      <c r="AN74" s="9" t="inlineStr"/>
      <c r="AO74" s="9" t="inlineStr"/>
      <c r="AP74" s="9" t="inlineStr"/>
      <c r="AQ74" s="9" t="inlineStr"/>
      <c r="AR74" s="9" t="inlineStr">
        <is>
          <t>No</t>
        </is>
      </c>
      <c r="AS74" s="9" t="inlineStr">
        <is>
          <t>start-up profile 없음</t>
        </is>
      </c>
      <c r="AT74" s="11" t="inlineStr">
        <is>
          <t>NO VALUE</t>
        </is>
      </c>
      <c r="AU74" s="11" t="inlineStr">
        <is>
          <t>NO VALUE</t>
        </is>
      </c>
      <c r="AV74" s="11" t="inlineStr">
        <is>
          <t>—</t>
        </is>
      </c>
      <c r="AW74" s="12" t="inlineStr">
        <is>
          <t>INCLUSIVE | NO VALUE | [NO VALUE] start-up profile 없음 (01)</t>
        </is>
      </c>
    </row>
    <row r="75" ht="31" customHeight="1">
      <c r="B75" s="9" t="inlineStr">
        <is>
          <t>T3 모델·진단</t>
        </is>
      </c>
      <c r="C75" s="9" t="inlineStr">
        <is>
          <t>B_ETA_BRK</t>
        </is>
      </c>
      <c r="D75" s="9" t="inlineStr">
        <is>
          <t>CORE</t>
        </is>
      </c>
      <c r="E75" s="9" t="inlineStr">
        <is>
          <t>3ITT 고전단 점도 η_brk</t>
        </is>
      </c>
      <c r="F75" s="9" t="inlineStr">
        <is>
          <t>구조가 해체된 고전단 상태의 유동 저항.</t>
        </is>
      </c>
      <c r="G75" s="9" t="inlineStr">
        <is>
          <t>cP</t>
        </is>
      </c>
      <c r="H75" s="9" t="inlineStr">
        <is>
          <t>0 / 0</t>
        </is>
      </c>
      <c r="I75" s="13" t="n">
        <v/>
      </c>
      <c r="J75" s="13" t="n">
        <v/>
      </c>
      <c r="K75" s="10" t="inlineStr"/>
      <c r="L75" s="13" t="n">
        <v/>
      </c>
      <c r="M75" s="13" t="n">
        <v/>
      </c>
      <c r="N75" s="13" t="n">
        <v/>
      </c>
      <c r="O75" s="13" t="n">
        <v/>
      </c>
      <c r="P75" s="9" t="inlineStr"/>
      <c r="Q75" s="9" t="inlineStr">
        <is>
          <t>STRICT</t>
        </is>
      </c>
      <c r="R75" s="9" t="n">
        <v>0</v>
      </c>
      <c r="S75" s="9" t="n">
        <v>0</v>
      </c>
      <c r="T75" s="9" t="n">
        <v>0</v>
      </c>
      <c r="U75" s="9" t="n">
        <v>0</v>
      </c>
      <c r="V75" s="9" t="inlineStr">
        <is>
          <t>RSD</t>
        </is>
      </c>
      <c r="W75" s="9" t="n">
        <v>10</v>
      </c>
      <c r="X75" s="9" t="n">
        <v>20</v>
      </c>
      <c r="Y75" s="11">
        <f>IF(OR(V75="-",H75&lt;2),"N/A",IF(V75="RSD",IF(ISNUMBER(K75),IF(K75&lt;=W75,"GOOD",IF(K75&lt;=X75,"REVIEW","HIGH VAR")),"HIGH VAR"),IF(J75&lt;=W75,"GOOD",IF(J75&lt;=X75,"REVIEW","HIGH VAR"))))</f>
        <v/>
      </c>
      <c r="Z75" s="9" t="inlineStr"/>
      <c r="AA75" s="9" t="inlineStr"/>
      <c r="AB75" s="9" t="inlineStr"/>
      <c r="AC75" s="9" t="inlineStr"/>
      <c r="AD75" s="9" t="inlineStr"/>
      <c r="AE75" s="9" t="inlineStr"/>
      <c r="AF75" s="9" t="inlineStr"/>
      <c r="AG75" s="9" t="inlineStr"/>
      <c r="AH75" s="9" t="inlineStr"/>
      <c r="AI75" s="9" t="inlineStr"/>
      <c r="AJ75" s="9" t="inlineStr"/>
      <c r="AK75" s="9" t="inlineStr"/>
      <c r="AL75" s="9" t="inlineStr"/>
      <c r="AM75" s="9" t="inlineStr"/>
      <c r="AN75" s="9" t="inlineStr"/>
      <c r="AO75" s="9" t="inlineStr"/>
      <c r="AP75" s="9" t="inlineStr"/>
      <c r="AQ75" s="9" t="inlineStr"/>
      <c r="AR75" s="9" t="inlineStr">
        <is>
          <t>No</t>
        </is>
      </c>
      <c r="AS75" s="9" t="inlineStr"/>
      <c r="AT75" s="11" t="inlineStr">
        <is>
          <t>NO VALUE</t>
        </is>
      </c>
      <c r="AU75" s="11" t="inlineStr">
        <is>
          <t>NO DATA</t>
        </is>
      </c>
      <c r="AV75" s="11" t="inlineStr">
        <is>
          <t>NO DATA</t>
        </is>
      </c>
      <c r="AW75" s="12" t="inlineStr">
        <is>
          <t>STRICT | NO VALUE</t>
        </is>
      </c>
    </row>
    <row r="76" ht="31" customHeight="1">
      <c r="B76" s="9" t="inlineStr">
        <is>
          <t>T3 모델·진단</t>
        </is>
      </c>
      <c r="C76" s="9" t="inlineStr">
        <is>
          <t>B_R10</t>
        </is>
      </c>
      <c r="D76" s="9" t="inlineStr">
        <is>
          <t>CORE</t>
        </is>
      </c>
      <c r="E76" s="9" t="inlineStr">
        <is>
          <t>10초 즉시 회복률 R10</t>
        </is>
      </c>
      <c r="F76" s="9" t="inlineStr">
        <is>
          <t>고전단 해제 직후 즉시 회복(탄성·빠른 접점 재형성).</t>
        </is>
      </c>
      <c r="G76" s="9" t="inlineStr">
        <is>
          <t>%</t>
        </is>
      </c>
      <c r="H76" s="9" t="inlineStr">
        <is>
          <t>0 / 0</t>
        </is>
      </c>
      <c r="I76" s="10" t="n">
        <v/>
      </c>
      <c r="J76" s="10" t="n">
        <v/>
      </c>
      <c r="K76" s="10" t="inlineStr"/>
      <c r="L76" s="10" t="n">
        <v/>
      </c>
      <c r="M76" s="10" t="n">
        <v/>
      </c>
      <c r="N76" s="10" t="n">
        <v/>
      </c>
      <c r="O76" s="10" t="n">
        <v/>
      </c>
      <c r="P76" s="9" t="inlineStr"/>
      <c r="Q76" s="9" t="inlineStr">
        <is>
          <t>STRICT</t>
        </is>
      </c>
      <c r="R76" s="9" t="n">
        <v>0</v>
      </c>
      <c r="S76" s="9" t="n">
        <v>0</v>
      </c>
      <c r="T76" s="9" t="n">
        <v>0</v>
      </c>
      <c r="U76" s="9" t="n">
        <v>0</v>
      </c>
      <c r="V76" s="9" t="inlineStr">
        <is>
          <t>SD</t>
        </is>
      </c>
      <c r="W76" s="9" t="n">
        <v>3</v>
      </c>
      <c r="X76" s="9" t="n">
        <v>6</v>
      </c>
      <c r="Y76" s="11">
        <f>IF(OR(V76="-",H76&lt;2),"N/A",IF(V76="RSD",IF(ISNUMBER(K76),IF(K76&lt;=W76,"GOOD",IF(K76&lt;=X76,"REVIEW","HIGH VAR")),"HIGH VAR"),IF(J76&lt;=W76,"GOOD",IF(J76&lt;=X76,"REVIEW","HIGH VAR"))))</f>
        <v/>
      </c>
      <c r="Z76" s="9" t="inlineStr"/>
      <c r="AA76" s="9" t="inlineStr"/>
      <c r="AB76" s="9" t="inlineStr"/>
      <c r="AC76" s="9" t="inlineStr"/>
      <c r="AD76" s="9" t="inlineStr"/>
      <c r="AE76" s="9" t="inlineStr"/>
      <c r="AF76" s="9" t="inlineStr"/>
      <c r="AG76" s="9" t="inlineStr"/>
      <c r="AH76" s="9" t="inlineStr"/>
      <c r="AI76" s="9" t="inlineStr"/>
      <c r="AJ76" s="9" t="inlineStr"/>
      <c r="AK76" s="9" t="inlineStr"/>
      <c r="AL76" s="9" t="inlineStr"/>
      <c r="AM76" s="9" t="inlineStr"/>
      <c r="AN76" s="9" t="inlineStr"/>
      <c r="AO76" s="9" t="inlineStr"/>
      <c r="AP76" s="9" t="inlineStr"/>
      <c r="AQ76" s="9" t="inlineStr"/>
      <c r="AR76" s="9" t="inlineStr">
        <is>
          <t>No</t>
        </is>
      </c>
      <c r="AS76" s="9" t="inlineStr"/>
      <c r="AT76" s="11" t="inlineStr">
        <is>
          <t>NO VALUE</t>
        </is>
      </c>
      <c r="AU76" s="11" t="inlineStr">
        <is>
          <t>NO DATA</t>
        </is>
      </c>
      <c r="AV76" s="11" t="inlineStr">
        <is>
          <t>NO DATA</t>
        </is>
      </c>
      <c r="AW76" s="12" t="inlineStr">
        <is>
          <t>STRICT | NO VALUE</t>
        </is>
      </c>
    </row>
    <row r="77" ht="15.5" customHeight="1">
      <c r="B77" s="9" t="inlineStr">
        <is>
          <t>T3 모델·진단</t>
        </is>
      </c>
      <c r="C77" s="9" t="inlineStr">
        <is>
          <t>B_R900</t>
        </is>
      </c>
      <c r="D77" s="9" t="inlineStr">
        <is>
          <t>CORE</t>
        </is>
      </c>
      <c r="E77" s="9" t="inlineStr">
        <is>
          <t>900초 장기 회복률 R900</t>
        </is>
      </c>
      <c r="F77" s="9" t="inlineStr">
        <is>
          <t>장기 재구축 또는 비가역 손실.</t>
        </is>
      </c>
      <c r="G77" s="9" t="inlineStr">
        <is>
          <t>%</t>
        </is>
      </c>
      <c r="H77" s="9" t="inlineStr">
        <is>
          <t>0 / 0</t>
        </is>
      </c>
      <c r="I77" s="10" t="n">
        <v/>
      </c>
      <c r="J77" s="10" t="n">
        <v/>
      </c>
      <c r="K77" s="10" t="inlineStr"/>
      <c r="L77" s="10" t="n">
        <v/>
      </c>
      <c r="M77" s="10" t="n">
        <v/>
      </c>
      <c r="N77" s="10" t="n">
        <v/>
      </c>
      <c r="O77" s="10" t="n">
        <v/>
      </c>
      <c r="P77" s="9" t="inlineStr"/>
      <c r="Q77" s="9" t="inlineStr">
        <is>
          <t>STRICT</t>
        </is>
      </c>
      <c r="R77" s="9" t="n">
        <v>0</v>
      </c>
      <c r="S77" s="9" t="n">
        <v>0</v>
      </c>
      <c r="T77" s="9" t="n">
        <v>0</v>
      </c>
      <c r="U77" s="9" t="n">
        <v>0</v>
      </c>
      <c r="V77" s="9" t="inlineStr">
        <is>
          <t>SD</t>
        </is>
      </c>
      <c r="W77" s="9" t="n">
        <v>3</v>
      </c>
      <c r="X77" s="9" t="n">
        <v>6</v>
      </c>
      <c r="Y77" s="11">
        <f>IF(OR(V77="-",H77&lt;2),"N/A",IF(V77="RSD",IF(ISNUMBER(K77),IF(K77&lt;=W77,"GOOD",IF(K77&lt;=X77,"REVIEW","HIGH VAR")),"HIGH VAR"),IF(J77&lt;=W77,"GOOD",IF(J77&lt;=X77,"REVIEW","HIGH VAR"))))</f>
        <v/>
      </c>
      <c r="Z77" s="9" t="inlineStr"/>
      <c r="AA77" s="9" t="inlineStr"/>
      <c r="AB77" s="9" t="inlineStr"/>
      <c r="AC77" s="9" t="inlineStr"/>
      <c r="AD77" s="9" t="inlineStr"/>
      <c r="AE77" s="9" t="inlineStr"/>
      <c r="AF77" s="9" t="inlineStr"/>
      <c r="AG77" s="9" t="inlineStr"/>
      <c r="AH77" s="9" t="inlineStr"/>
      <c r="AI77" s="9" t="inlineStr"/>
      <c r="AJ77" s="9" t="inlineStr"/>
      <c r="AK77" s="9" t="inlineStr"/>
      <c r="AL77" s="9" t="inlineStr"/>
      <c r="AM77" s="9" t="inlineStr"/>
      <c r="AN77" s="9" t="inlineStr"/>
      <c r="AO77" s="9" t="inlineStr"/>
      <c r="AP77" s="9" t="inlineStr"/>
      <c r="AQ77" s="9" t="inlineStr"/>
      <c r="AR77" s="9" t="inlineStr">
        <is>
          <t>No</t>
        </is>
      </c>
      <c r="AS77" s="9" t="inlineStr"/>
      <c r="AT77" s="11" t="inlineStr">
        <is>
          <t>NO VALUE</t>
        </is>
      </c>
      <c r="AU77" s="11" t="inlineStr">
        <is>
          <t>NO DATA</t>
        </is>
      </c>
      <c r="AV77" s="11" t="inlineStr">
        <is>
          <t>NO DATA</t>
        </is>
      </c>
      <c r="AW77" s="12" t="inlineStr">
        <is>
          <t>STRICT | NO VALUE</t>
        </is>
      </c>
    </row>
    <row r="78" ht="31" customHeight="1">
      <c r="B78" s="9" t="inlineStr">
        <is>
          <t>DQ 데이터 품질</t>
        </is>
      </c>
      <c r="C78" s="9" t="inlineStr">
        <is>
          <t>A_TQ_L</t>
        </is>
      </c>
      <c r="D78" s="9" t="inlineStr">
        <is>
          <t>DATA_QUALITY</t>
        </is>
      </c>
      <c r="E78" s="9" t="inlineStr">
        <is>
          <t>저전단 기준점 Torque(0.5 rpm)</t>
        </is>
      </c>
      <c r="F78" s="9" t="inlineStr">
        <is>
          <t>저전단 측정 신호의 크기와 10% 하한까지의 여유.</t>
        </is>
      </c>
      <c r="G78" s="9" t="inlineStr">
        <is>
          <t>%</t>
        </is>
      </c>
      <c r="H78" s="9" t="inlineStr">
        <is>
          <t>1 / 1</t>
        </is>
      </c>
      <c r="I78" s="10" t="n">
        <v>20</v>
      </c>
      <c r="J78" s="10" t="n">
        <v/>
      </c>
      <c r="K78" s="10" t="inlineStr"/>
      <c r="L78" s="10" t="n">
        <v>20</v>
      </c>
      <c r="M78" s="10" t="n">
        <v>20</v>
      </c>
      <c r="N78" s="10" t="n">
        <v>0</v>
      </c>
      <c r="O78" s="10" t="n">
        <v>20</v>
      </c>
      <c r="P78" s="9" t="inlineStr">
        <is>
          <t>+1/−0</t>
        </is>
      </c>
      <c r="Q78" s="9" t="inlineStr">
        <is>
          <t>INCLUSIVE</t>
        </is>
      </c>
      <c r="R78" s="9" t="n">
        <v>0</v>
      </c>
      <c r="S78" s="9" t="n">
        <v>0</v>
      </c>
      <c r="T78" s="9" t="n">
        <v>0</v>
      </c>
      <c r="U78" s="9" t="n">
        <v>0</v>
      </c>
      <c r="V78" s="9" t="inlineStr">
        <is>
          <t>-</t>
        </is>
      </c>
      <c r="W78" s="9" t="n"/>
      <c r="X78" s="9" t="n"/>
      <c r="Y78" s="11" t="inlineStr">
        <is>
          <t>N/A</t>
        </is>
      </c>
      <c r="Z78" s="9" t="inlineStr"/>
      <c r="AA78" s="9" t="inlineStr"/>
      <c r="AB78" s="9" t="inlineStr"/>
      <c r="AC78" s="9" t="inlineStr"/>
      <c r="AD78" s="9" t="inlineStr"/>
      <c r="AE78" s="9" t="inlineStr"/>
      <c r="AF78" s="9" t="inlineStr"/>
      <c r="AG78" s="9" t="inlineStr"/>
      <c r="AH78" s="9" t="inlineStr"/>
      <c r="AI78" s="9" t="inlineStr"/>
      <c r="AJ78" s="9" t="inlineStr"/>
      <c r="AK78" s="9" t="inlineStr"/>
      <c r="AL78" s="9" t="inlineStr"/>
      <c r="AM78" s="9" t="inlineStr"/>
      <c r="AN78" s="9" t="inlineStr"/>
      <c r="AO78" s="9" t="inlineStr"/>
      <c r="AP78" s="9" t="inlineStr"/>
      <c r="AQ78" s="9" t="inlineStr"/>
      <c r="AR78" s="9" t="inlineStr">
        <is>
          <t>Yes</t>
        </is>
      </c>
      <c r="AS78" s="9" t="inlineStr"/>
      <c r="AT78" s="11" t="inlineStr">
        <is>
          <t>strict 정량값</t>
        </is>
      </c>
      <c r="AU78" s="11" t="inlineStr">
        <is>
          <t>VALID</t>
        </is>
      </c>
      <c r="AV78" s="11" t="inlineStr">
        <is>
          <t>—</t>
        </is>
      </c>
      <c r="AW78" s="12" t="inlineStr">
        <is>
          <t>INCLUSIVE | strict 정량값 | 60 s hold, Torque 10–95% 범위 내</t>
        </is>
      </c>
    </row>
    <row r="79" ht="46.5" customHeight="1">
      <c r="B79" s="9" t="inlineStr">
        <is>
          <t>DQ 데이터 품질</t>
        </is>
      </c>
      <c r="C79" s="9" t="inlineStr">
        <is>
          <t>A_RES_L</t>
        </is>
      </c>
      <c r="D79" s="9" t="inlineStr">
        <is>
          <t>DATA_QUALITY</t>
        </is>
      </c>
      <c r="E79" s="9" t="inlineStr">
        <is>
          <t>저전단 기준점 분해능 한계(0.5 rpm)</t>
        </is>
      </c>
      <c r="F79" s="9" t="inlineStr">
        <is>
          <t>Torque 표시 1단위가 τ↑(L)에서 차지하는 상대 크기. 이보다 작은 Lot 간 차이는 판별할 수 없음.</t>
        </is>
      </c>
      <c r="G79" s="9" t="inlineStr">
        <is>
          <t>%</t>
        </is>
      </c>
      <c r="H79" s="9" t="inlineStr">
        <is>
          <t>1 / 1</t>
        </is>
      </c>
      <c r="I79" s="10" t="n">
        <v>0.5</v>
      </c>
      <c r="J79" s="10" t="n">
        <v/>
      </c>
      <c r="K79" s="10" t="inlineStr"/>
      <c r="L79" s="10" t="n">
        <v>0.5</v>
      </c>
      <c r="M79" s="10" t="n">
        <v>0.5</v>
      </c>
      <c r="N79" s="10" t="n">
        <v>0</v>
      </c>
      <c r="O79" s="10" t="n">
        <v>0.5</v>
      </c>
      <c r="P79" s="9" t="inlineStr">
        <is>
          <t>+1/−0</t>
        </is>
      </c>
      <c r="Q79" s="9" t="inlineStr">
        <is>
          <t>INCLUSIVE</t>
        </is>
      </c>
      <c r="R79" s="9" t="n">
        <v>0</v>
      </c>
      <c r="S79" s="9" t="n">
        <v>0</v>
      </c>
      <c r="T79" s="9" t="n">
        <v>0</v>
      </c>
      <c r="U79" s="9" t="n">
        <v>0</v>
      </c>
      <c r="V79" s="9" t="inlineStr">
        <is>
          <t>-</t>
        </is>
      </c>
      <c r="W79" s="9" t="n"/>
      <c r="X79" s="9" t="n"/>
      <c r="Y79" s="11" t="inlineStr">
        <is>
          <t>N/A</t>
        </is>
      </c>
      <c r="Z79" s="9" t="inlineStr"/>
      <c r="AA79" s="9" t="inlineStr"/>
      <c r="AB79" s="9" t="inlineStr"/>
      <c r="AC79" s="9" t="inlineStr"/>
      <c r="AD79" s="9" t="inlineStr"/>
      <c r="AE79" s="9" t="inlineStr"/>
      <c r="AF79" s="9" t="inlineStr"/>
      <c r="AG79" s="9" t="inlineStr"/>
      <c r="AH79" s="9" t="inlineStr"/>
      <c r="AI79" s="9" t="inlineStr"/>
      <c r="AJ79" s="9" t="inlineStr"/>
      <c r="AK79" s="9" t="inlineStr"/>
      <c r="AL79" s="9" t="inlineStr"/>
      <c r="AM79" s="9" t="inlineStr"/>
      <c r="AN79" s="9" t="inlineStr"/>
      <c r="AO79" s="9" t="inlineStr"/>
      <c r="AP79" s="9" t="inlineStr"/>
      <c r="AQ79" s="9" t="inlineStr"/>
      <c r="AR79" s="9" t="inlineStr">
        <is>
          <t>Yes</t>
        </is>
      </c>
      <c r="AS79" s="9" t="inlineStr"/>
      <c r="AT79" s="11" t="inlineStr">
        <is>
          <t>strict 정량값</t>
        </is>
      </c>
      <c r="AU79" s="11" t="inlineStr">
        <is>
          <t>VALID</t>
        </is>
      </c>
      <c r="AV79" s="11" t="inlineStr">
        <is>
          <t>—</t>
        </is>
      </c>
      <c r="AW79" s="12" t="inlineStr">
        <is>
          <t>INCLUSIVE | strict 정량값 | 60 s hold, Torque 10–95% 범위 내</t>
        </is>
      </c>
    </row>
    <row r="80" ht="77.5" customHeight="1">
      <c r="B80" s="9" t="inlineStr">
        <is>
          <t>DQ 데이터 품질</t>
        </is>
      </c>
      <c r="C80" s="9" t="inlineStr">
        <is>
          <t>A_DUL_FLOOR</t>
        </is>
      </c>
      <c r="D80" s="9" t="inlineStr">
        <is>
          <t>CENSORED_METRIC</t>
        </is>
      </c>
      <c r="E80" s="9" t="inlineStr">
        <is>
          <t>저전단 D/U 검출하한(0.5 rpm)</t>
        </is>
      </c>
      <c r="F80" s="9" t="inlineStr">
        <is>
          <t>하강 경로 저전단 Torque가 10% 미만으로 떨어져 A_DU_L이 공란(CENSORED)이 되는 경계. A_DU_L이 이 값에 가까우면 구조 손실이 큰 Lot일수록 값이 사라지는 구조적 편향이 생김.</t>
        </is>
      </c>
      <c r="G80" s="9" t="inlineStr">
        <is>
          <t>%</t>
        </is>
      </c>
      <c r="H80" s="9" t="inlineStr">
        <is>
          <t>1 / 1</t>
        </is>
      </c>
      <c r="I80" s="10" t="n">
        <v>50</v>
      </c>
      <c r="J80" s="10" t="n">
        <v/>
      </c>
      <c r="K80" s="10" t="inlineStr"/>
      <c r="L80" s="10" t="n">
        <v>50</v>
      </c>
      <c r="M80" s="10" t="n">
        <v>50</v>
      </c>
      <c r="N80" s="10" t="n">
        <v>0</v>
      </c>
      <c r="O80" s="10" t="n">
        <v>50</v>
      </c>
      <c r="P80" s="9" t="inlineStr">
        <is>
          <t>+1/−0</t>
        </is>
      </c>
      <c r="Q80" s="9" t="inlineStr">
        <is>
          <t>INCLUSIVE</t>
        </is>
      </c>
      <c r="R80" s="9" t="n">
        <v>0</v>
      </c>
      <c r="S80" s="9" t="n">
        <v>0</v>
      </c>
      <c r="T80" s="9" t="n">
        <v>0</v>
      </c>
      <c r="U80" s="9" t="n">
        <v>0</v>
      </c>
      <c r="V80" s="9" t="inlineStr">
        <is>
          <t>-</t>
        </is>
      </c>
      <c r="W80" s="9" t="n"/>
      <c r="X80" s="9" t="n"/>
      <c r="Y80" s="11" t="inlineStr">
        <is>
          <t>N/A</t>
        </is>
      </c>
      <c r="Z80" s="9" t="inlineStr"/>
      <c r="AA80" s="9" t="inlineStr"/>
      <c r="AB80" s="9" t="inlineStr"/>
      <c r="AC80" s="9" t="inlineStr"/>
      <c r="AD80" s="9" t="inlineStr"/>
      <c r="AE80" s="9" t="inlineStr"/>
      <c r="AF80" s="9" t="inlineStr"/>
      <c r="AG80" s="9" t="inlineStr"/>
      <c r="AH80" s="9" t="inlineStr"/>
      <c r="AI80" s="9" t="inlineStr"/>
      <c r="AJ80" s="9" t="inlineStr"/>
      <c r="AK80" s="9" t="inlineStr"/>
      <c r="AL80" s="9" t="inlineStr"/>
      <c r="AM80" s="9" t="inlineStr"/>
      <c r="AN80" s="9" t="inlineStr"/>
      <c r="AO80" s="9" t="inlineStr"/>
      <c r="AP80" s="9" t="inlineStr"/>
      <c r="AQ80" s="9" t="inlineStr"/>
      <c r="AR80" s="9" t="inlineStr">
        <is>
          <t>Yes</t>
        </is>
      </c>
      <c r="AS80" s="9" t="inlineStr"/>
      <c r="AT80" s="11" t="inlineStr">
        <is>
          <t>strict 정량값</t>
        </is>
      </c>
      <c r="AU80" s="11" t="inlineStr">
        <is>
          <t>VALID</t>
        </is>
      </c>
      <c r="AV80" s="11" t="inlineStr">
        <is>
          <t>—</t>
        </is>
      </c>
      <c r="AW80" s="12" t="inlineStr">
        <is>
          <t>INCLUSIVE | strict 정량값 | 60 s hold, Torque 10–95% 범위 내</t>
        </is>
      </c>
    </row>
    <row r="81" ht="31" customHeight="1">
      <c r="B81" s="9" t="inlineStr">
        <is>
          <t>DQ 데이터 품질</t>
        </is>
      </c>
      <c r="C81" s="9" t="inlineStr">
        <is>
          <t>A_EQ_DRIFT_MAX</t>
        </is>
      </c>
      <c r="D81" s="9" t="inlineStr">
        <is>
          <t>DATA_QUALITY</t>
        </is>
      </c>
      <c r="E81" s="9" t="inlineStr">
        <is>
          <t>대표창 최대 드리프트</t>
        </is>
      </c>
      <c r="F81" s="9" t="inlineStr">
        <is>
          <t>대표창에서 응력이 아직 변하고 있는 정도(준평형 확인, QC-RHEO-A-001 §8-4).</t>
        </is>
      </c>
      <c r="G81" s="9" t="inlineStr">
        <is>
          <t>%</t>
        </is>
      </c>
      <c r="H81" s="9" t="inlineStr">
        <is>
          <t>1 / 1</t>
        </is>
      </c>
      <c r="I81" s="10" t="n">
        <v>3.396218997857658e-14</v>
      </c>
      <c r="J81" s="10" t="n">
        <v/>
      </c>
      <c r="K81" s="10" t="inlineStr"/>
      <c r="L81" s="10" t="n">
        <v>3.396218997857658e-14</v>
      </c>
      <c r="M81" s="10" t="n">
        <v>3.396218997857658e-14</v>
      </c>
      <c r="N81" s="10" t="n">
        <v>0</v>
      </c>
      <c r="O81" s="10" t="n">
        <v>3.396218997857658e-14</v>
      </c>
      <c r="P81" s="9" t="inlineStr">
        <is>
          <t>+1/−0</t>
        </is>
      </c>
      <c r="Q81" s="9" t="inlineStr">
        <is>
          <t>INCLUSIVE</t>
        </is>
      </c>
      <c r="R81" s="9" t="n">
        <v>0</v>
      </c>
      <c r="S81" s="9" t="n">
        <v>0</v>
      </c>
      <c r="T81" s="9" t="n">
        <v>0</v>
      </c>
      <c r="U81" s="9" t="n">
        <v>0</v>
      </c>
      <c r="V81" s="9" t="inlineStr">
        <is>
          <t>-</t>
        </is>
      </c>
      <c r="W81" s="9" t="n"/>
      <c r="X81" s="9" t="n"/>
      <c r="Y81" s="11" t="inlineStr">
        <is>
          <t>N/A</t>
        </is>
      </c>
      <c r="Z81" s="9" t="inlineStr"/>
      <c r="AA81" s="9" t="inlineStr"/>
      <c r="AB81" s="9" t="inlineStr"/>
      <c r="AC81" s="9" t="inlineStr"/>
      <c r="AD81" s="9" t="inlineStr"/>
      <c r="AE81" s="9" t="inlineStr"/>
      <c r="AF81" s="9" t="inlineStr"/>
      <c r="AG81" s="9" t="inlineStr"/>
      <c r="AH81" s="9" t="inlineStr"/>
      <c r="AI81" s="9" t="inlineStr"/>
      <c r="AJ81" s="9" t="inlineStr"/>
      <c r="AK81" s="9" t="inlineStr"/>
      <c r="AL81" s="9" t="inlineStr"/>
      <c r="AM81" s="9" t="inlineStr"/>
      <c r="AN81" s="9" t="inlineStr"/>
      <c r="AO81" s="9" t="inlineStr"/>
      <c r="AP81" s="9" t="inlineStr"/>
      <c r="AQ81" s="9" t="inlineStr"/>
      <c r="AR81" s="9" t="inlineStr">
        <is>
          <t>Yes</t>
        </is>
      </c>
      <c r="AS81" s="9" t="inlineStr"/>
      <c r="AT81" s="11" t="inlineStr">
        <is>
          <t>strict 정량값</t>
        </is>
      </c>
      <c r="AU81" s="11" t="inlineStr">
        <is>
          <t>VALID</t>
        </is>
      </c>
      <c r="AV81" s="11" t="inlineStr">
        <is>
          <t>—</t>
        </is>
      </c>
      <c r="AW81" s="12" t="inlineStr">
        <is>
          <t>INCLUSIVE | strict 정량값 | 60 s hold, Torque 10–95% 범위 내</t>
        </is>
      </c>
    </row>
    <row r="82" ht="31" customHeight="1">
      <c r="B82" s="9" t="inlineStr">
        <is>
          <t>DQ 데이터 품질</t>
        </is>
      </c>
      <c r="C82" s="9" t="inlineStr">
        <is>
          <t>A_TEMP_MEAN</t>
        </is>
      </c>
      <c r="D82" s="9" t="inlineStr">
        <is>
          <t>DATA_QUALITY</t>
        </is>
      </c>
      <c r="E82" s="9" t="inlineStr">
        <is>
          <t>정량 Step 평균 시료 온도</t>
        </is>
      </c>
      <c r="F82" s="9" t="inlineStr">
        <is>
          <t>측정 온도 조건. 점도는 온도에 민감하므로 Lot 간 비교의 전제.</t>
        </is>
      </c>
      <c r="G82" s="9" t="inlineStr">
        <is>
          <t>°C</t>
        </is>
      </c>
      <c r="H82" s="9" t="inlineStr">
        <is>
          <t>1 / 1</t>
        </is>
      </c>
      <c r="I82" s="10" t="n">
        <v>25</v>
      </c>
      <c r="J82" s="10" t="n">
        <v/>
      </c>
      <c r="K82" s="10" t="inlineStr"/>
      <c r="L82" s="10" t="n">
        <v>25</v>
      </c>
      <c r="M82" s="10" t="n">
        <v>25</v>
      </c>
      <c r="N82" s="10" t="n">
        <v>0</v>
      </c>
      <c r="O82" s="10" t="n">
        <v>25</v>
      </c>
      <c r="P82" s="9" t="inlineStr">
        <is>
          <t>+1/−0</t>
        </is>
      </c>
      <c r="Q82" s="9" t="inlineStr">
        <is>
          <t>INCLUSIVE</t>
        </is>
      </c>
      <c r="R82" s="9" t="n">
        <v>0</v>
      </c>
      <c r="S82" s="9" t="n">
        <v>0</v>
      </c>
      <c r="T82" s="9" t="n">
        <v>0</v>
      </c>
      <c r="U82" s="9" t="n">
        <v>0</v>
      </c>
      <c r="V82" s="9" t="inlineStr">
        <is>
          <t>-</t>
        </is>
      </c>
      <c r="W82" s="9" t="n"/>
      <c r="X82" s="9" t="n"/>
      <c r="Y82" s="11" t="inlineStr">
        <is>
          <t>N/A</t>
        </is>
      </c>
      <c r="Z82" s="9" t="inlineStr"/>
      <c r="AA82" s="9" t="inlineStr"/>
      <c r="AB82" s="9" t="inlineStr"/>
      <c r="AC82" s="9" t="inlineStr"/>
      <c r="AD82" s="9" t="inlineStr"/>
      <c r="AE82" s="9" t="inlineStr"/>
      <c r="AF82" s="9" t="inlineStr"/>
      <c r="AG82" s="9" t="inlineStr"/>
      <c r="AH82" s="9" t="inlineStr"/>
      <c r="AI82" s="9" t="inlineStr"/>
      <c r="AJ82" s="9" t="inlineStr"/>
      <c r="AK82" s="9" t="inlineStr"/>
      <c r="AL82" s="9" t="inlineStr"/>
      <c r="AM82" s="9" t="inlineStr"/>
      <c r="AN82" s="9" t="inlineStr"/>
      <c r="AO82" s="9" t="inlineStr"/>
      <c r="AP82" s="9" t="inlineStr"/>
      <c r="AQ82" s="9" t="inlineStr"/>
      <c r="AR82" s="9" t="inlineStr">
        <is>
          <t>Yes</t>
        </is>
      </c>
      <c r="AS82" s="9" t="inlineStr"/>
      <c r="AT82" s="11" t="inlineStr">
        <is>
          <t>strict 정량값</t>
        </is>
      </c>
      <c r="AU82" s="11" t="inlineStr">
        <is>
          <t>VALID</t>
        </is>
      </c>
      <c r="AV82" s="11" t="inlineStr">
        <is>
          <t>—</t>
        </is>
      </c>
      <c r="AW82" s="12" t="inlineStr">
        <is>
          <t>INCLUSIVE | strict 정량값 | 60 s hold, Torque 10–95% 범위 내</t>
        </is>
      </c>
    </row>
    <row r="83" ht="15.5" customHeight="1">
      <c r="B83" s="9" t="inlineStr">
        <is>
          <t>DQ 데이터 품질</t>
        </is>
      </c>
      <c r="C83" s="9" t="inlineStr">
        <is>
          <t>A_TEMP_SPAN</t>
        </is>
      </c>
      <c r="D83" s="9" t="inlineStr">
        <is>
          <t>DATA_QUALITY</t>
        </is>
      </c>
      <c r="E83" s="9" t="inlineStr">
        <is>
          <t>정량 Step 온도 변동폭</t>
        </is>
      </c>
      <c r="F83" s="9" t="inlineStr">
        <is>
          <t>시험 중 온도 안정성.</t>
        </is>
      </c>
      <c r="G83" s="9" t="inlineStr">
        <is>
          <t>°C</t>
        </is>
      </c>
      <c r="H83" s="9" t="inlineStr">
        <is>
          <t>1 / 1</t>
        </is>
      </c>
      <c r="I83" s="10" t="n">
        <v>0</v>
      </c>
      <c r="J83" s="10" t="n">
        <v/>
      </c>
      <c r="K83" s="10" t="inlineStr"/>
      <c r="L83" s="10" t="n">
        <v>0</v>
      </c>
      <c r="M83" s="10" t="n">
        <v>0</v>
      </c>
      <c r="N83" s="10" t="n">
        <v>0</v>
      </c>
      <c r="O83" s="10" t="n">
        <v>0</v>
      </c>
      <c r="P83" s="9" t="inlineStr">
        <is>
          <t>+0/−0/0×1</t>
        </is>
      </c>
      <c r="Q83" s="9" t="inlineStr">
        <is>
          <t>INCLUSIVE</t>
        </is>
      </c>
      <c r="R83" s="9" t="n">
        <v>0</v>
      </c>
      <c r="S83" s="9" t="n">
        <v>0</v>
      </c>
      <c r="T83" s="9" t="n">
        <v>0</v>
      </c>
      <c r="U83" s="9" t="n">
        <v>0</v>
      </c>
      <c r="V83" s="9" t="inlineStr">
        <is>
          <t>-</t>
        </is>
      </c>
      <c r="W83" s="9" t="n"/>
      <c r="X83" s="9" t="n"/>
      <c r="Y83" s="11" t="inlineStr">
        <is>
          <t>N/A</t>
        </is>
      </c>
      <c r="Z83" s="9" t="inlineStr"/>
      <c r="AA83" s="9" t="inlineStr"/>
      <c r="AB83" s="9" t="inlineStr"/>
      <c r="AC83" s="9" t="inlineStr"/>
      <c r="AD83" s="9" t="inlineStr"/>
      <c r="AE83" s="9" t="inlineStr"/>
      <c r="AF83" s="9" t="inlineStr"/>
      <c r="AG83" s="9" t="inlineStr"/>
      <c r="AH83" s="9" t="inlineStr"/>
      <c r="AI83" s="9" t="inlineStr"/>
      <c r="AJ83" s="9" t="inlineStr"/>
      <c r="AK83" s="9" t="inlineStr"/>
      <c r="AL83" s="9" t="inlineStr"/>
      <c r="AM83" s="9" t="inlineStr"/>
      <c r="AN83" s="9" t="inlineStr"/>
      <c r="AO83" s="9" t="inlineStr"/>
      <c r="AP83" s="9" t="inlineStr"/>
      <c r="AQ83" s="9" t="inlineStr"/>
      <c r="AR83" s="9" t="inlineStr">
        <is>
          <t>Yes</t>
        </is>
      </c>
      <c r="AS83" s="9" t="inlineStr"/>
      <c r="AT83" s="11" t="inlineStr">
        <is>
          <t>strict 정량값</t>
        </is>
      </c>
      <c r="AU83" s="11" t="inlineStr">
        <is>
          <t>VALID</t>
        </is>
      </c>
      <c r="AV83" s="11" t="inlineStr">
        <is>
          <t>—</t>
        </is>
      </c>
      <c r="AW83" s="12" t="inlineStr">
        <is>
          <t>INCLUSIVE | strict 정량값 | 60 s hold, Torque 10–95% 범위 내</t>
        </is>
      </c>
    </row>
    <row r="84" ht="31" customHeight="1">
      <c r="B84" s="9" t="inlineStr">
        <is>
          <t>DQ 데이터 품질</t>
        </is>
      </c>
      <c r="C84" s="9" t="inlineStr">
        <is>
          <t>A_N_QUANT</t>
        </is>
      </c>
      <c r="D84" s="9" t="inlineStr">
        <is>
          <t>DATA_QUALITY</t>
        </is>
      </c>
      <c r="E84" s="9" t="inlineStr">
        <is>
          <t>정량 사용 회전 Step 수</t>
        </is>
      </c>
      <c r="F84" s="9" t="inlineStr">
        <is>
          <t>유동곡선 정보량. 제외 Step은 사유 열 참조.</t>
        </is>
      </c>
      <c r="G84" s="9" t="inlineStr">
        <is>
          <t>개</t>
        </is>
      </c>
      <c r="H84" s="9" t="inlineStr">
        <is>
          <t>1 / 1</t>
        </is>
      </c>
      <c r="I84" s="17" t="n">
        <v>10</v>
      </c>
      <c r="J84" s="17" t="n">
        <v/>
      </c>
      <c r="K84" s="10" t="inlineStr"/>
      <c r="L84" s="17" t="n">
        <v>10</v>
      </c>
      <c r="M84" s="17" t="n">
        <v>10</v>
      </c>
      <c r="N84" s="17" t="n">
        <v>0</v>
      </c>
      <c r="O84" s="17" t="n">
        <v>10</v>
      </c>
      <c r="P84" s="9" t="inlineStr">
        <is>
          <t>+1/−0</t>
        </is>
      </c>
      <c r="Q84" s="9" t="inlineStr">
        <is>
          <t>INCLUSIVE</t>
        </is>
      </c>
      <c r="R84" s="9" t="n">
        <v>0</v>
      </c>
      <c r="S84" s="9" t="n">
        <v>0</v>
      </c>
      <c r="T84" s="9" t="n">
        <v>0</v>
      </c>
      <c r="U84" s="9" t="n">
        <v>0</v>
      </c>
      <c r="V84" s="9" t="inlineStr">
        <is>
          <t>-</t>
        </is>
      </c>
      <c r="W84" s="9" t="n"/>
      <c r="X84" s="9" t="n"/>
      <c r="Y84" s="11" t="inlineStr">
        <is>
          <t>N/A</t>
        </is>
      </c>
      <c r="Z84" s="9" t="inlineStr"/>
      <c r="AA84" s="9" t="inlineStr"/>
      <c r="AB84" s="9" t="inlineStr"/>
      <c r="AC84" s="9" t="inlineStr"/>
      <c r="AD84" s="9" t="inlineStr"/>
      <c r="AE84" s="9" t="inlineStr"/>
      <c r="AF84" s="9" t="inlineStr"/>
      <c r="AG84" s="9" t="inlineStr"/>
      <c r="AH84" s="9" t="inlineStr"/>
      <c r="AI84" s="9" t="inlineStr"/>
      <c r="AJ84" s="9" t="inlineStr"/>
      <c r="AK84" s="9" t="inlineStr"/>
      <c r="AL84" s="9" t="inlineStr"/>
      <c r="AM84" s="9" t="inlineStr"/>
      <c r="AN84" s="9" t="inlineStr"/>
      <c r="AO84" s="9" t="inlineStr"/>
      <c r="AP84" s="9" t="inlineStr"/>
      <c r="AQ84" s="9" t="inlineStr"/>
      <c r="AR84" s="9" t="inlineStr">
        <is>
          <t>Yes</t>
        </is>
      </c>
      <c r="AS84" s="9" t="inlineStr"/>
      <c r="AT84" s="11" t="inlineStr">
        <is>
          <t>strict 정량값</t>
        </is>
      </c>
      <c r="AU84" s="11" t="inlineStr">
        <is>
          <t>VALID</t>
        </is>
      </c>
      <c r="AV84" s="11" t="inlineStr">
        <is>
          <t>—</t>
        </is>
      </c>
      <c r="AW84" s="12" t="inlineStr">
        <is>
          <t>INCLUSIVE | strict 정량값 | 60 s hold, Torque 10–95% 범위 내</t>
        </is>
      </c>
    </row>
    <row r="85" ht="15.5" customHeight="1">
      <c r="B85" s="9" t="inlineStr">
        <is>
          <t>DQ 데이터 품질</t>
        </is>
      </c>
      <c r="C85" s="9" t="inlineStr">
        <is>
          <t>D_TEMP</t>
        </is>
      </c>
      <c r="D85" s="9" t="inlineStr">
        <is>
          <t>DATA_QUALITY</t>
        </is>
      </c>
      <c r="E85" s="9" t="inlineStr">
        <is>
          <t>밀도 시험온도</t>
        </is>
      </c>
      <c r="F85" s="9" t="inlineStr">
        <is>
          <t>밀도 측정 온도 조건.</t>
        </is>
      </c>
      <c r="G85" s="9" t="inlineStr">
        <is>
          <t>°C</t>
        </is>
      </c>
      <c r="H85" s="9" t="inlineStr">
        <is>
          <t>0 / 0</t>
        </is>
      </c>
      <c r="I85" s="10" t="n">
        <v/>
      </c>
      <c r="J85" s="10" t="n">
        <v/>
      </c>
      <c r="K85" s="10" t="inlineStr"/>
      <c r="L85" s="10" t="n">
        <v/>
      </c>
      <c r="M85" s="10" t="n">
        <v/>
      </c>
      <c r="N85" s="10" t="n">
        <v/>
      </c>
      <c r="O85" s="10" t="n">
        <v/>
      </c>
      <c r="P85" s="9" t="inlineStr"/>
      <c r="Q85" s="9" t="inlineStr">
        <is>
          <t>STRICT</t>
        </is>
      </c>
      <c r="R85" s="9" t="n">
        <v>0</v>
      </c>
      <c r="S85" s="9" t="n">
        <v>0</v>
      </c>
      <c r="T85" s="9" t="n">
        <v>0</v>
      </c>
      <c r="U85" s="9" t="n">
        <v>0</v>
      </c>
      <c r="V85" s="9" t="inlineStr">
        <is>
          <t>-</t>
        </is>
      </c>
      <c r="W85" s="9" t="n"/>
      <c r="X85" s="9" t="n"/>
      <c r="Y85" s="11" t="inlineStr">
        <is>
          <t>N/A</t>
        </is>
      </c>
      <c r="Z85" s="9" t="inlineStr"/>
      <c r="AA85" s="9" t="inlineStr"/>
      <c r="AB85" s="9" t="inlineStr"/>
      <c r="AC85" s="9" t="inlineStr"/>
      <c r="AD85" s="9" t="inlineStr"/>
      <c r="AE85" s="9" t="inlineStr"/>
      <c r="AF85" s="9" t="inlineStr"/>
      <c r="AG85" s="9" t="inlineStr"/>
      <c r="AH85" s="9" t="inlineStr"/>
      <c r="AI85" s="9" t="inlineStr"/>
      <c r="AJ85" s="9" t="inlineStr"/>
      <c r="AK85" s="9" t="inlineStr"/>
      <c r="AL85" s="9" t="inlineStr"/>
      <c r="AM85" s="9" t="inlineStr"/>
      <c r="AN85" s="9" t="inlineStr"/>
      <c r="AO85" s="9" t="inlineStr"/>
      <c r="AP85" s="9" t="inlineStr"/>
      <c r="AQ85" s="9" t="inlineStr"/>
      <c r="AR85" s="9" t="inlineStr">
        <is>
          <t>No</t>
        </is>
      </c>
      <c r="AS85" s="9" t="inlineStr"/>
      <c r="AT85" s="11" t="inlineStr">
        <is>
          <t>NO VALUE</t>
        </is>
      </c>
      <c r="AU85" s="11" t="inlineStr">
        <is>
          <t>NO DATA</t>
        </is>
      </c>
      <c r="AV85" s="11" t="inlineStr">
        <is>
          <t>—</t>
        </is>
      </c>
      <c r="AW85" s="12" t="inlineStr">
        <is>
          <t>STRICT | NO VALUE</t>
        </is>
      </c>
    </row>
    <row r="86" ht="15.5" customHeight="1">
      <c r="B86" s="9" t="inlineStr">
        <is>
          <t>DQ 데이터 품질</t>
        </is>
      </c>
      <c r="C86" s="9" t="inlineStr">
        <is>
          <t>B_TQ_BASE</t>
        </is>
      </c>
      <c r="D86" s="9" t="inlineStr">
        <is>
          <t>DATA_QUALITY</t>
        </is>
      </c>
      <c r="E86" s="9" t="inlineStr">
        <is>
          <t>3ITT 기준 구간 Torque</t>
        </is>
      </c>
      <c r="F86" s="9" t="inlineStr">
        <is>
          <t>회복률 분모의 신호 크기.</t>
        </is>
      </c>
      <c r="G86" s="9" t="inlineStr">
        <is>
          <t>%</t>
        </is>
      </c>
      <c r="H86" s="9" t="inlineStr">
        <is>
          <t>0 / 0</t>
        </is>
      </c>
      <c r="I86" s="10" t="n">
        <v/>
      </c>
      <c r="J86" s="10" t="n">
        <v/>
      </c>
      <c r="K86" s="10" t="inlineStr"/>
      <c r="L86" s="10" t="n">
        <v/>
      </c>
      <c r="M86" s="10" t="n">
        <v/>
      </c>
      <c r="N86" s="10" t="n">
        <v/>
      </c>
      <c r="O86" s="10" t="n">
        <v/>
      </c>
      <c r="P86" s="9" t="inlineStr"/>
      <c r="Q86" s="9" t="inlineStr">
        <is>
          <t>STRICT</t>
        </is>
      </c>
      <c r="R86" s="9" t="n">
        <v>0</v>
      </c>
      <c r="S86" s="9" t="n">
        <v>0</v>
      </c>
      <c r="T86" s="9" t="n">
        <v>0</v>
      </c>
      <c r="U86" s="9" t="n">
        <v>0</v>
      </c>
      <c r="V86" s="9" t="inlineStr">
        <is>
          <t>-</t>
        </is>
      </c>
      <c r="W86" s="9" t="n"/>
      <c r="X86" s="9" t="n"/>
      <c r="Y86" s="11" t="inlineStr">
        <is>
          <t>N/A</t>
        </is>
      </c>
      <c r="Z86" s="9" t="inlineStr"/>
      <c r="AA86" s="9" t="inlineStr"/>
      <c r="AB86" s="9" t="inlineStr"/>
      <c r="AC86" s="9" t="inlineStr"/>
      <c r="AD86" s="9" t="inlineStr"/>
      <c r="AE86" s="9" t="inlineStr"/>
      <c r="AF86" s="9" t="inlineStr"/>
      <c r="AG86" s="9" t="inlineStr"/>
      <c r="AH86" s="9" t="inlineStr"/>
      <c r="AI86" s="9" t="inlineStr"/>
      <c r="AJ86" s="9" t="inlineStr"/>
      <c r="AK86" s="9" t="inlineStr"/>
      <c r="AL86" s="9" t="inlineStr"/>
      <c r="AM86" s="9" t="inlineStr"/>
      <c r="AN86" s="9" t="inlineStr"/>
      <c r="AO86" s="9" t="inlineStr"/>
      <c r="AP86" s="9" t="inlineStr"/>
      <c r="AQ86" s="9" t="inlineStr"/>
      <c r="AR86" s="9" t="inlineStr">
        <is>
          <t>No</t>
        </is>
      </c>
      <c r="AS86" s="9" t="inlineStr"/>
      <c r="AT86" s="11" t="inlineStr">
        <is>
          <t>NO VALUE</t>
        </is>
      </c>
      <c r="AU86" s="11" t="inlineStr">
        <is>
          <t>NO DATA</t>
        </is>
      </c>
      <c r="AV86" s="11" t="inlineStr">
        <is>
          <t>—</t>
        </is>
      </c>
      <c r="AW86" s="12" t="inlineStr">
        <is>
          <t>STRICT | NO VALUE</t>
        </is>
      </c>
    </row>
    <row r="87" ht="62" customHeight="1">
      <c r="B87" s="9" t="inlineStr">
        <is>
          <t>DQ 데이터 품질</t>
        </is>
      </c>
      <c r="C87" s="9" t="inlineStr">
        <is>
          <t>B_REC_FLOOR</t>
        </is>
      </c>
      <c r="D87" s="9" t="inlineStr">
        <is>
          <t>CENSORED_METRIC</t>
        </is>
      </c>
      <c r="E87" s="9" t="inlineStr">
        <is>
          <t>3ITT 회복률 검출하한</t>
        </is>
      </c>
      <c r="F87" s="9" t="inlineStr">
        <is>
          <t>이보다 낮은 회복률은 Torque 10% 미만이라 정량할 수 없음(CENSORED). 기준 Torque가 10% 근처면 회복 곡선 대부분이 측정 불가.</t>
        </is>
      </c>
      <c r="G87" s="9" t="inlineStr">
        <is>
          <t>%</t>
        </is>
      </c>
      <c r="H87" s="9" t="inlineStr">
        <is>
          <t>0 / 0</t>
        </is>
      </c>
      <c r="I87" s="10" t="n">
        <v/>
      </c>
      <c r="J87" s="10" t="n">
        <v/>
      </c>
      <c r="K87" s="10" t="inlineStr"/>
      <c r="L87" s="10" t="n">
        <v/>
      </c>
      <c r="M87" s="10" t="n">
        <v/>
      </c>
      <c r="N87" s="10" t="n">
        <v/>
      </c>
      <c r="O87" s="10" t="n">
        <v/>
      </c>
      <c r="P87" s="9" t="inlineStr"/>
      <c r="Q87" s="9" t="inlineStr">
        <is>
          <t>STRICT</t>
        </is>
      </c>
      <c r="R87" s="9" t="n">
        <v>0</v>
      </c>
      <c r="S87" s="9" t="n">
        <v>0</v>
      </c>
      <c r="T87" s="9" t="n">
        <v>0</v>
      </c>
      <c r="U87" s="9" t="n">
        <v>0</v>
      </c>
      <c r="V87" s="9" t="inlineStr">
        <is>
          <t>-</t>
        </is>
      </c>
      <c r="W87" s="9" t="n"/>
      <c r="X87" s="9" t="n"/>
      <c r="Y87" s="11" t="inlineStr">
        <is>
          <t>N/A</t>
        </is>
      </c>
      <c r="Z87" s="9" t="inlineStr"/>
      <c r="AA87" s="9" t="inlineStr"/>
      <c r="AB87" s="9" t="inlineStr"/>
      <c r="AC87" s="9" t="inlineStr"/>
      <c r="AD87" s="9" t="inlineStr"/>
      <c r="AE87" s="9" t="inlineStr"/>
      <c r="AF87" s="9" t="inlineStr"/>
      <c r="AG87" s="9" t="inlineStr"/>
      <c r="AH87" s="9" t="inlineStr"/>
      <c r="AI87" s="9" t="inlineStr"/>
      <c r="AJ87" s="9" t="inlineStr"/>
      <c r="AK87" s="9" t="inlineStr"/>
      <c r="AL87" s="9" t="inlineStr"/>
      <c r="AM87" s="9" t="inlineStr"/>
      <c r="AN87" s="9" t="inlineStr"/>
      <c r="AO87" s="9" t="inlineStr"/>
      <c r="AP87" s="9" t="inlineStr"/>
      <c r="AQ87" s="9" t="inlineStr"/>
      <c r="AR87" s="9" t="inlineStr">
        <is>
          <t>No</t>
        </is>
      </c>
      <c r="AS87" s="9" t="inlineStr"/>
      <c r="AT87" s="11" t="inlineStr">
        <is>
          <t>NO VALUE</t>
        </is>
      </c>
      <c r="AU87" s="11" t="inlineStr">
        <is>
          <t>NO DATA</t>
        </is>
      </c>
      <c r="AV87" s="11" t="inlineStr">
        <is>
          <t>—</t>
        </is>
      </c>
      <c r="AW87" s="12" t="inlineStr">
        <is>
          <t>STRICT | NO VALUE</t>
        </is>
      </c>
    </row>
    <row r="88" ht="31" customHeight="1">
      <c r="B88" s="9" t="inlineStr">
        <is>
          <t>DQ 데이터 품질</t>
        </is>
      </c>
      <c r="C88" s="9" t="inlineStr">
        <is>
          <t>B_REC_VALID</t>
        </is>
      </c>
      <c r="D88" s="9" t="inlineStr">
        <is>
          <t>DATA_QUALITY</t>
        </is>
      </c>
      <c r="E88" s="9" t="inlineStr">
        <is>
          <t>회복 구간 유효 데이터 비율</t>
        </is>
      </c>
      <c r="F88" s="9" t="inlineStr">
        <is>
          <t>회복 곡선의 정량 가능 범위.</t>
        </is>
      </c>
      <c r="G88" s="9" t="inlineStr">
        <is>
          <t>%</t>
        </is>
      </c>
      <c r="H88" s="9" t="inlineStr">
        <is>
          <t>0 / 0</t>
        </is>
      </c>
      <c r="I88" s="10" t="n">
        <v/>
      </c>
      <c r="J88" s="10" t="n">
        <v/>
      </c>
      <c r="K88" s="10" t="inlineStr"/>
      <c r="L88" s="10" t="n">
        <v/>
      </c>
      <c r="M88" s="10" t="n">
        <v/>
      </c>
      <c r="N88" s="10" t="n">
        <v/>
      </c>
      <c r="O88" s="10" t="n">
        <v/>
      </c>
      <c r="P88" s="9" t="inlineStr"/>
      <c r="Q88" s="9" t="inlineStr">
        <is>
          <t>STRICT</t>
        </is>
      </c>
      <c r="R88" s="9" t="n">
        <v>0</v>
      </c>
      <c r="S88" s="9" t="n">
        <v>0</v>
      </c>
      <c r="T88" s="9" t="n">
        <v>0</v>
      </c>
      <c r="U88" s="9" t="n">
        <v>0</v>
      </c>
      <c r="V88" s="9" t="inlineStr">
        <is>
          <t>-</t>
        </is>
      </c>
      <c r="W88" s="9" t="n"/>
      <c r="X88" s="9" t="n"/>
      <c r="Y88" s="11" t="inlineStr">
        <is>
          <t>N/A</t>
        </is>
      </c>
      <c r="Z88" s="9" t="inlineStr"/>
      <c r="AA88" s="9" t="inlineStr"/>
      <c r="AB88" s="9" t="inlineStr"/>
      <c r="AC88" s="9" t="inlineStr"/>
      <c r="AD88" s="9" t="inlineStr"/>
      <c r="AE88" s="9" t="inlineStr"/>
      <c r="AF88" s="9" t="inlineStr"/>
      <c r="AG88" s="9" t="inlineStr"/>
      <c r="AH88" s="9" t="inlineStr"/>
      <c r="AI88" s="9" t="inlineStr"/>
      <c r="AJ88" s="9" t="inlineStr"/>
      <c r="AK88" s="9" t="inlineStr"/>
      <c r="AL88" s="9" t="inlineStr"/>
      <c r="AM88" s="9" t="inlineStr"/>
      <c r="AN88" s="9" t="inlineStr"/>
      <c r="AO88" s="9" t="inlineStr"/>
      <c r="AP88" s="9" t="inlineStr"/>
      <c r="AQ88" s="9" t="inlineStr"/>
      <c r="AR88" s="9" t="inlineStr">
        <is>
          <t>No</t>
        </is>
      </c>
      <c r="AS88" s="9" t="inlineStr"/>
      <c r="AT88" s="11" t="inlineStr">
        <is>
          <t>NO VALUE</t>
        </is>
      </c>
      <c r="AU88" s="11" t="inlineStr">
        <is>
          <t>NO DATA</t>
        </is>
      </c>
      <c r="AV88" s="11" t="inlineStr">
        <is>
          <t>—</t>
        </is>
      </c>
      <c r="AW88" s="12" t="inlineStr">
        <is>
          <t>STRICT | NO VALUE</t>
        </is>
      </c>
    </row>
    <row r="90" ht="38" customHeight="1">
      <c r="B90" s="18" t="inlineStr">
        <is>
          <t>대표 채널: Summary의 유효 n, Mean, SD, RSD, Min, Max, Range, 부호는 '대표 채널' 열의 통계입니다. primary_channel=inclusive이면 Method A는 정책 허용 hold를 반영한 INCLUSIVE 통계가 기존 통계 열에 표시됩니다. Strict/Inclusive 병렬 원자료·상세 통계는 Metric_Statistics, AReplicatesINCL, AReplicatesEXC, StepAudit에서 확인합니다.</t>
        </is>
      </c>
    </row>
    <row r="91" ht="38" customHeight="1">
      <c r="B91" s="18" t="inlineStr">
        <is>
          <t>데이터 상태: VALID=모든 반복 유효 | NOTICE=값 표시·해석 주의(합격성 제외; A_OVS_L 미산출·H-B R²·GRANGE) | REVIEW=일부 반복 공란·경고 또는 [SIGN] 부호 전환 | EXCEPTION=승인 예외 hold Step 사용 | CENSORED=검출하한 밖(Torque&lt;10 % 또는 &gt;95 %) 참고값 | INVALID=유효 반복 없음 | NO DATA=해당 시험 미제공.</t>
        </is>
      </c>
    </row>
    <row r="92" ht="38" customHeight="1">
      <c r="B92" s="18" t="inlineStr">
        <is>
          <t>합격성 반영: ELIGIBLE=Lot 합격성 판단에 쓸 수 있는 상태 | REVIEW=조건부 | EXCLUDED=EXCEPTION/CENSORED라 판정에서 제외 | —=진단·데이터 품질 지표(Role DIAGNOSTIC/DATA_QUALITY/CENSORED_METRIC)라 판정 대상 아님.</t>
        </is>
      </c>
    </row>
    <row r="93" ht="38" customHeight="1">
      <c r="B93" s="18" t="inlineStr">
        <is>
          <t>RSD(%)는 SD/|Mean|×100입니다. 0 기준 차이형 지표(A_BRK_PEAK·A_OVS_L·B_BRK_DECAY)는 'N/A(0 기준)', |Mean|&lt;SD(RSD&gt;100%)이면 'N/A(|Mean|&lt;SD)'로 표시하고 SD·Range·부호(+/−)로 반복성을 봅니다.</t>
        </is>
      </c>
    </row>
    <row r="94" ht="38" customHeight="1">
      <c r="B94" s="18" t="inlineStr">
        <is>
          <t>값 상태는 strict 정량값 / inclusive exception / torque 하한 밖 참고값 / torque 상한 밖 참고값 / torque 범위 밖 참고값 / NO VALUE / INVALID 중 하나입니다. Torque 참고값은 통계에 넣을 수 있지만 합격성 ELIGIBLE로 쓰지 않습니다.</t>
        </is>
      </c>
    </row>
    <row r="95" ht="38" customHeight="1">
      <c r="B95" s="18" t="inlineStr">
        <is>
          <t>공식 SSI는 A_SSI_FIELD_0P2_2 = eta_up(0.2 rpm)/eta_up(2.0 rpm), A_SSI_QC_0P5_5 = eta_up(0.5 rpm)/eta(5.0 rpm Up endpoint)이다. 없는 RPM은 다른 RPM으로 대체하지 않는다. 실측 10배 쌍은 DecadeSSI 시트에 pair_id별로 따로 둔다.</t>
        </is>
      </c>
    </row>
    <row r="96" ht="38" customHeight="1">
      <c r="B96" s="18" t="inlineStr">
        <is>
          <t>적용 저점 RPM과 적용 고점 RPM은 별도 열이다. 반복마다 RPM이 다르면 데이터 상태는 REVIEW이고 비고에 반복별 RPM을 남긴다. 측정 최고 RPM이 채널에서 부적격하면 더 낮은 RPM으로 대체하지 않고 NO VALUE다.</t>
        </is>
      </c>
    </row>
    <row r="97" ht="38" customHeight="1">
      <c r="B97" s="18" t="inlineStr">
        <is>
          <t>n EXC는 INCLUSIVE 채널에서 EXCEPTION으로 분류된 반복 수, n CENS는 대표 채널의 CENSORED 반복 수, n Low/High-TQ Ref는 Torque 참고값이 들어간 반복 수입니다.</t>
        </is>
      </c>
    </row>
    <row r="98" ht="38" customHeight="1">
      <c r="B98" s="18" t="inlineStr">
        <is>
          <t>반복성 규칙은 임시 데이터 품질 기준입니다(RSD=%, SD=지표 단위). GR&amp;R·Lot 분포·원심 장벽 기능시험 상관 확인 전에는 규격(USL/LSL)으로 쓰지 않습니다. 반복성 규칙·GOOD·REVIEW 열을 수정하면 반복성 상태가 재계산됩니다.</t>
        </is>
      </c>
    </row>
    <row r="99" ht="38" customHeight="1">
      <c r="B99" s="18" t="inlineStr">
        <is>
          <t>공란은 산출 불가 또는 평균 부적격(EXCEPTION/CENSORED/INVALID) 값입니다. 대체 입력하지 않았고 사유는 Replicate_Flags·StepAudit에 있습니다. 지표 정의는 QC_Dictionary.</t>
        </is>
      </c>
    </row>
  </sheetData>
  <mergeCells count="31">
    <mergeCell ref="C9:AS9"/>
    <mergeCell ref="B90:AW90"/>
    <mergeCell ref="C21:AS21"/>
    <mergeCell ref="C12:AS12"/>
    <mergeCell ref="B93:AW93"/>
    <mergeCell ref="B5:AS5"/>
    <mergeCell ref="B96:AW96"/>
    <mergeCell ref="C11:AS11"/>
    <mergeCell ref="B4:AS4"/>
    <mergeCell ref="C8:AS8"/>
    <mergeCell ref="B98:AW98"/>
    <mergeCell ref="B3:AS3"/>
    <mergeCell ref="C7:AS7"/>
    <mergeCell ref="C19:AS19"/>
    <mergeCell ref="B18:AS18"/>
    <mergeCell ref="C13:AS13"/>
    <mergeCell ref="B2:AS2"/>
    <mergeCell ref="B99:AW99"/>
    <mergeCell ref="C6:AS6"/>
    <mergeCell ref="C15:AS15"/>
    <mergeCell ref="B23:AS23"/>
    <mergeCell ref="B92:AW92"/>
    <mergeCell ref="C14:AS14"/>
    <mergeCell ref="B95:AW95"/>
    <mergeCell ref="B94:AW94"/>
    <mergeCell ref="C20:AS20"/>
    <mergeCell ref="C10:AS10"/>
    <mergeCell ref="C16:AS16"/>
    <mergeCell ref="B97:AW97"/>
    <mergeCell ref="B91:AW91"/>
    <mergeCell ref="C22:AS22"/>
  </mergeCells>
  <conditionalFormatting sqref="Y25:Y88">
    <cfRule type="expression" priority="1" dxfId="0" stopIfTrue="1">
      <formula>$Y25="VALID"</formula>
    </cfRule>
    <cfRule type="expression" priority="2" dxfId="0" stopIfTrue="1">
      <formula>$Y25="GOOD"</formula>
    </cfRule>
    <cfRule type="expression" priority="3" dxfId="0" stopIfTrue="1">
      <formula>$Y25="OK"</formula>
    </cfRule>
    <cfRule type="expression" priority="4" dxfId="0" stopIfTrue="1">
      <formula>$Y25="ELIGIBLE"</formula>
    </cfRule>
    <cfRule type="expression" priority="5" dxfId="1" stopIfTrue="1">
      <formula>$Y25="NOTICE"</formula>
    </cfRule>
    <cfRule type="expression" priority="6" dxfId="2" stopIfTrue="1">
      <formula>$Y25="REVIEW"</formula>
    </cfRule>
    <cfRule type="expression" priority="7" dxfId="2" stopIfTrue="1">
      <formula>$Y25="WARNING"</formula>
    </cfRule>
    <cfRule type="expression" priority="8" dxfId="3" stopIfTrue="1">
      <formula>$Y25="EXCEPTION"</formula>
    </cfRule>
    <cfRule type="expression" priority="9" dxfId="3" stopIfTrue="1">
      <formula>$Y25="EXCLUDED"</formula>
    </cfRule>
    <cfRule type="expression" priority="10" dxfId="4" stopIfTrue="1">
      <formula>$Y25="INVALID"</formula>
    </cfRule>
    <cfRule type="expression" priority="11" dxfId="4" stopIfTrue="1">
      <formula>$Y25="HIGH VAR"</formula>
    </cfRule>
    <cfRule type="expression" priority="12" dxfId="5" stopIfTrue="1">
      <formula>$Y25="NO DATA"</formula>
    </cfRule>
    <cfRule type="expression" priority="13" dxfId="5" stopIfTrue="1">
      <formula>$Y25="N/A"</formula>
    </cfRule>
    <cfRule type="expression" priority="14" dxfId="5" stopIfTrue="1">
      <formula>$Y25="NO VALUE"</formula>
    </cfRule>
    <cfRule type="expression" priority="15" dxfId="6" stopIfTrue="1">
      <formula>$Y25="CENSORED"</formula>
    </cfRule>
    <cfRule type="expression" priority="16" dxfId="7" stopIfTrue="1">
      <formula>$Y25="—"</formula>
    </cfRule>
  </conditionalFormatting>
  <conditionalFormatting sqref="AU25:AU88">
    <cfRule type="expression" priority="17" dxfId="0" stopIfTrue="1">
      <formula>$AU25="VALID"</formula>
    </cfRule>
    <cfRule type="expression" priority="18" dxfId="0" stopIfTrue="1">
      <formula>$AU25="GOOD"</formula>
    </cfRule>
    <cfRule type="expression" priority="19" dxfId="0" stopIfTrue="1">
      <formula>$AU25="OK"</formula>
    </cfRule>
    <cfRule type="expression" priority="20" dxfId="0" stopIfTrue="1">
      <formula>$AU25="ELIGIBLE"</formula>
    </cfRule>
    <cfRule type="expression" priority="21" dxfId="1" stopIfTrue="1">
      <formula>$AU25="NOTICE"</formula>
    </cfRule>
    <cfRule type="expression" priority="22" dxfId="2" stopIfTrue="1">
      <formula>$AU25="REVIEW"</formula>
    </cfRule>
    <cfRule type="expression" priority="23" dxfId="2" stopIfTrue="1">
      <formula>$AU25="WARNING"</formula>
    </cfRule>
    <cfRule type="expression" priority="24" dxfId="3" stopIfTrue="1">
      <formula>$AU25="EXCEPTION"</formula>
    </cfRule>
    <cfRule type="expression" priority="25" dxfId="3" stopIfTrue="1">
      <formula>$AU25="EXCLUDED"</formula>
    </cfRule>
    <cfRule type="expression" priority="26" dxfId="4" stopIfTrue="1">
      <formula>$AU25="INVALID"</formula>
    </cfRule>
    <cfRule type="expression" priority="27" dxfId="4" stopIfTrue="1">
      <formula>$AU25="HIGH VAR"</formula>
    </cfRule>
    <cfRule type="expression" priority="28" dxfId="5" stopIfTrue="1">
      <formula>$AU25="NO DATA"</formula>
    </cfRule>
    <cfRule type="expression" priority="29" dxfId="5" stopIfTrue="1">
      <formula>$AU25="N/A"</formula>
    </cfRule>
    <cfRule type="expression" priority="30" dxfId="5" stopIfTrue="1">
      <formula>$AU25="NO VALUE"</formula>
    </cfRule>
    <cfRule type="expression" priority="31" dxfId="6" stopIfTrue="1">
      <formula>$AU25="CENSORED"</formula>
    </cfRule>
    <cfRule type="expression" priority="32" dxfId="7" stopIfTrue="1">
      <formula>$AU25="—"</formula>
    </cfRule>
  </conditionalFormatting>
  <conditionalFormatting sqref="AV25:AV88">
    <cfRule type="expression" priority="33" dxfId="0" stopIfTrue="1">
      <formula>$AV25="VALID"</formula>
    </cfRule>
    <cfRule type="expression" priority="34" dxfId="0" stopIfTrue="1">
      <formula>$AV25="GOOD"</formula>
    </cfRule>
    <cfRule type="expression" priority="35" dxfId="0" stopIfTrue="1">
      <formula>$AV25="OK"</formula>
    </cfRule>
    <cfRule type="expression" priority="36" dxfId="0" stopIfTrue="1">
      <formula>$AV25="ELIGIBLE"</formula>
    </cfRule>
    <cfRule type="expression" priority="37" dxfId="1" stopIfTrue="1">
      <formula>$AV25="NOTICE"</formula>
    </cfRule>
    <cfRule type="expression" priority="38" dxfId="2" stopIfTrue="1">
      <formula>$AV25="REVIEW"</formula>
    </cfRule>
    <cfRule type="expression" priority="39" dxfId="2" stopIfTrue="1">
      <formula>$AV25="WARNING"</formula>
    </cfRule>
    <cfRule type="expression" priority="40" dxfId="3" stopIfTrue="1">
      <formula>$AV25="EXCEPTION"</formula>
    </cfRule>
    <cfRule type="expression" priority="41" dxfId="3" stopIfTrue="1">
      <formula>$AV25="EXCLUDED"</formula>
    </cfRule>
    <cfRule type="expression" priority="42" dxfId="4" stopIfTrue="1">
      <formula>$AV25="INVALID"</formula>
    </cfRule>
    <cfRule type="expression" priority="43" dxfId="4" stopIfTrue="1">
      <formula>$AV25="HIGH VAR"</formula>
    </cfRule>
    <cfRule type="expression" priority="44" dxfId="5" stopIfTrue="1">
      <formula>$AV25="NO DATA"</formula>
    </cfRule>
    <cfRule type="expression" priority="45" dxfId="5" stopIfTrue="1">
      <formula>$AV25="N/A"</formula>
    </cfRule>
    <cfRule type="expression" priority="46" dxfId="5" stopIfTrue="1">
      <formula>$AV25="NO VALUE"</formula>
    </cfRule>
    <cfRule type="expression" priority="47" dxfId="6" stopIfTrue="1">
      <formula>$AV25="CENSORED"</formula>
    </cfRule>
    <cfRule type="expression" priority="48" dxfId="7" stopIfTrue="1">
      <formula>$AV25="—"</formula>
    </cfRule>
  </conditionalFormatting>
  <conditionalFormatting sqref="AT25:AT88">
    <cfRule type="expression" priority="49" dxfId="0" stopIfTrue="1">
      <formula>$AT25="strict 정량값"</formula>
    </cfRule>
    <cfRule type="expression" priority="50" dxfId="8" stopIfTrue="1">
      <formula>$AT25="inclusive exception"</formula>
    </cfRule>
    <cfRule type="expression" priority="51" dxfId="6" stopIfTrue="1">
      <formula>$AT25="torque 하한 밖 참고값"</formula>
    </cfRule>
    <cfRule type="expression" priority="52" dxfId="6" stopIfTrue="1">
      <formula>$AT25="torque 상한 밖 참고값"</formula>
    </cfRule>
    <cfRule type="expression" priority="53" dxfId="6" stopIfTrue="1">
      <formula>$AT25="torque 범위 밖 참고값"</formula>
    </cfRule>
    <cfRule type="expression" priority="54" dxfId="5" stopIfTrue="1">
      <formula>$AT25="NO VALUE"</formula>
    </cfRule>
    <cfRule type="expression" priority="55" dxfId="4" stopIfTrue="1">
      <formula>$AT25="INVALID"</formula>
    </cfRule>
  </conditionalFormatting>
  <hyperlinks>
    <hyperlink ref="B1" location="'Lot_QC_Summary'!B2"/>
    <hyperlink ref="C1" location="'QC_Dictionary'!B2"/>
    <hyperlink ref="D1" location="'A_Replicates'!B2"/>
    <hyperlink ref="E1" location="'B_Replicates'!B2"/>
    <hyperlink ref="F1" location="'Density_Replicates'!B2"/>
    <hyperlink ref="G1" location="'A_Replicates_INCL'!B2"/>
    <hyperlink ref="H1" location="'A_Replicates_EXC'!B2"/>
    <hyperlink ref="I1" location="'Metric_Statistics'!B2"/>
    <hyperlink ref="J1" location="'A_Step_Replicates'!B2"/>
    <hyperlink ref="K1" location="'A_Step_Statistics'!B2"/>
    <hyperlink ref="L1" location="'Replicate_Flags'!B2"/>
    <hyperlink ref="M1" location="'Traceability'!B2"/>
  </hyperlink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N71"/>
  <sheetViews>
    <sheetView showGridLines="0" workbookViewId="0">
      <pane xSplit="5" ySplit="5" topLeftCell="F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5" customWidth="1" min="3" max="3"/>
    <col width="16" customWidth="1" min="4" max="4"/>
    <col width="28" customWidth="1" min="5" max="5"/>
    <col width="7" customWidth="1" min="6" max="6"/>
    <col width="38" customWidth="1" min="7" max="7"/>
    <col width="38" customWidth="1" min="8" max="8"/>
    <col width="30" customWidth="1" min="9" max="9"/>
    <col width="28" customWidth="1" min="10" max="10"/>
    <col width="28" customWidth="1" min="11" max="11"/>
    <col width="40" customWidth="1" min="12" max="12"/>
    <col width="28" customWidth="1" min="13" max="13"/>
    <col width="14" customWidth="1" min="14" max="14"/>
  </cols>
  <sheetData>
    <row r="1">
      <c r="B1" s="1" t="inlineStr">
        <is>
          <t>Lot_QC_Summary</t>
        </is>
      </c>
      <c r="C1" s="1" t="inlineStr">
        <is>
          <t>QC_Dictionary</t>
        </is>
      </c>
      <c r="D1" s="1" t="inlineStr">
        <is>
          <t>A_Replicates</t>
        </is>
      </c>
      <c r="E1" s="1" t="inlineStr">
        <is>
          <t>B_Replicates</t>
        </is>
      </c>
      <c r="F1" s="1" t="inlineStr">
        <is>
          <t>Density_Replicates</t>
        </is>
      </c>
      <c r="G1" s="1" t="inlineStr">
        <is>
          <t>A_Replicates_INCL</t>
        </is>
      </c>
      <c r="H1" s="1" t="inlineStr">
        <is>
          <t>A_Replicates_EXC</t>
        </is>
      </c>
      <c r="I1" s="1" t="inlineStr">
        <is>
          <t>Metric_Statistics</t>
        </is>
      </c>
      <c r="J1" s="1" t="inlineStr">
        <is>
          <t>A_Step_Replicates</t>
        </is>
      </c>
      <c r="K1" s="1" t="inlineStr">
        <is>
          <t>A_Step_Statistics</t>
        </is>
      </c>
      <c r="L1" s="1" t="inlineStr">
        <is>
          <t>Replicate_Flags</t>
        </is>
      </c>
      <c r="M1" s="1" t="inlineStr">
        <is>
          <t>Traceability</t>
        </is>
      </c>
    </row>
    <row r="2" ht="28" customHeight="1">
      <c r="B2" s="2" t="inlineStr">
        <is>
          <t>QC_Dictionary — 각 QC 지표가 가리키는 물성과 해석</t>
        </is>
      </c>
    </row>
    <row r="3" ht="30" customHeight="1">
      <c r="B3" s="3" t="inlineStr">
        <is>
          <t>정의·계산식, 가리키는 물성, SST 기능 단계 연결, 값 증감의 의미, 이 지표가 말하지 않는 것(한계), 유효 조건.</t>
        </is>
      </c>
    </row>
    <row r="5" ht="28" customHeight="1">
      <c r="B5" s="8" t="inlineStr">
        <is>
          <t>층위</t>
        </is>
      </c>
      <c r="C5" s="8" t="inlineStr">
        <is>
          <t>Code</t>
        </is>
      </c>
      <c r="D5" s="8" t="inlineStr">
        <is>
          <t>Role / 합격성</t>
        </is>
      </c>
      <c r="E5" s="8" t="inlineStr">
        <is>
          <t>지표</t>
        </is>
      </c>
      <c r="F5" s="8" t="inlineStr">
        <is>
          <t>단위</t>
        </is>
      </c>
      <c r="G5" s="8" t="inlineStr">
        <is>
          <t>정의·계산식</t>
        </is>
      </c>
      <c r="H5" s="8" t="inlineStr">
        <is>
          <t>가리키는 물성</t>
        </is>
      </c>
      <c r="I5" s="8" t="inlineStr">
        <is>
          <t>SST 기능 연결</t>
        </is>
      </c>
      <c r="J5" s="8" t="inlineStr">
        <is>
          <t>값이 높아질 때</t>
        </is>
      </c>
      <c r="K5" s="8" t="inlineStr">
        <is>
          <t>값이 낮아질 때</t>
        </is>
      </c>
      <c r="L5" s="8" t="inlineStr">
        <is>
          <t>해석 한계(말하지 않는 것)</t>
        </is>
      </c>
      <c r="M5" s="8" t="inlineStr">
        <is>
          <t>유효 조건</t>
        </is>
      </c>
      <c r="N5" s="8" t="inlineStr">
        <is>
          <t>반복성 규칙(임시)</t>
        </is>
      </c>
    </row>
    <row r="6" ht="124" customHeight="1">
      <c r="B6" s="9" t="inlineStr">
        <is>
          <t>T1 Lot 동일성 핵심</t>
        </is>
      </c>
      <c r="C6" s="9" t="inlineStr">
        <is>
          <t>A_TAU_L_UP</t>
        </is>
      </c>
      <c r="D6" s="9" t="inlineStr">
        <is>
          <t>CORE / 합격성 O</t>
        </is>
      </c>
      <c r="E6" s="9" t="inlineStr">
        <is>
          <t>저전단 구조 저항 τ↑(0.5 rpm)</t>
        </is>
      </c>
      <c r="F6" s="9" t="inlineStr">
        <is>
          <t>Pa</t>
        </is>
      </c>
      <c r="G6" s="9" t="inlineStr">
        <is>
          <t>Method A Up 경로 0.5 rpm(γ̇=1 s⁻¹) Step 대표 전단응력.</t>
        </is>
      </c>
      <c r="H6" s="9" t="inlineStr">
        <is>
          <t>휴지 중 형성된 실리카·겔화제 네트워크가 최저 정량 전단에서 흐름에 저항하는 크기(저전단 구조강도의 상대값).</t>
        </is>
      </c>
      <c r="I6" s="9" t="inlineStr">
        <is>
          <t>보관·운송 중 튜브 바닥 형태 유지, 원심 초기 유동 개시 저항.</t>
        </is>
      </c>
      <c r="J6" s="9" t="inlineStr">
        <is>
          <t>네트워크 강화(겔화제 과다, 냉각 이력에 따른 결정성 구조 등) 가능. 원심 중 이동 개시 지연 여부 확인.</t>
        </is>
      </c>
      <c r="K6" s="9" t="inlineStr">
        <is>
          <t>구조 약화 가능. 보관·운송 중 흘러내림·경사 유동 여부 확인.</t>
        </is>
      </c>
      <c r="L6" s="9" t="inlineStr">
        <is>
          <t>이미 흐르고 있는 상태의 값이며 정적 항복응력이 아님. 고정 저전단 평가점은 0.5 rpm이다. 0.35 rpm은 Full H-B 확장점이며 이 지표를 대체하지 않는다. H-B fitting 입력 RPM을 제한하지 않는다. Torque가 10% 부근이면 0.1% 표시 단위가 약 1% 상대오차에 해당(A_RES_L 참조).</t>
        </is>
      </c>
      <c r="M6" s="9" t="inlineStr">
        <is>
          <t>60초 회전 Step·후반 10초·Torque 10–95% 유효점만 사용. 미충족 시 공란(대체값 없음).</t>
        </is>
      </c>
      <c r="N6" s="9" t="inlineStr">
        <is>
          <t>RSD: GOOD ≤10, REVIEW ≤20</t>
        </is>
      </c>
    </row>
    <row r="7" ht="62" customHeight="1">
      <c r="B7" s="9" t="inlineStr">
        <is>
          <t>T1 Lot 동일성 핵심</t>
        </is>
      </c>
      <c r="C7" s="9" t="inlineStr">
        <is>
          <t>A_TAU_M_UP</t>
        </is>
      </c>
      <c r="D7" s="9" t="inlineStr">
        <is>
          <t>CORE / 합격성 O</t>
        </is>
      </c>
      <c r="E7" s="9" t="inlineStr">
        <is>
          <t>중간 전단 유동 저항 τ↑(2 rpm)</t>
        </is>
      </c>
      <c r="F7" s="9" t="inlineStr">
        <is>
          <t>Pa</t>
        </is>
      </c>
      <c r="G7" s="9" t="inlineStr">
        <is>
          <t>Method A Up 경로 2 rpm(γ̇=4 s⁻¹) Step 대표 전단응력.</t>
        </is>
      </c>
      <c r="H7" s="9" t="inlineStr">
        <is>
          <t>구조 일부가 전단으로 해체된 상태의 유동 저항. 측정창 중 Torque 여유가 커 반복 정밀도가 가장 좋은 기준점.</t>
        </is>
      </c>
      <c r="I7" s="9" t="inlineStr">
        <is>
          <t>충전·이송 및 원심 중 젤 이동 과정의 대표 유동성(Lot 간 상대 비교).</t>
        </is>
      </c>
      <c r="J7" s="9" t="inlineStr">
        <is>
          <t>배합 점도 상승, 충전재 증가 또는 분산 불량(응집) 가능.</t>
        </is>
      </c>
      <c r="K7" s="9" t="inlineStr">
        <is>
          <t>가소제 과다, 네트워크 형성 부족 가능.</t>
        </is>
      </c>
      <c r="L7" s="9" t="inlineStr">
        <is>
          <t>실제 원심분리 전단률보다 훨씬 낮은 조건. 절대 이동속도의 예측값이 아님.</t>
        </is>
      </c>
      <c r="M7" s="9" t="inlineStr">
        <is>
          <t>60초 회전 Step·후반 10초·Torque 10–95% 유효점만 사용. 미충족 시 공란(대체값 없음).</t>
        </is>
      </c>
      <c r="N7" s="9" t="inlineStr">
        <is>
          <t>RSD: GOOD ≤10, REVIEW ≤20</t>
        </is>
      </c>
    </row>
    <row r="8" ht="77.5" customHeight="1">
      <c r="B8" s="9" t="inlineStr">
        <is>
          <t>T1 Lot 동일성 핵심</t>
        </is>
      </c>
      <c r="C8" s="9" t="inlineStr">
        <is>
          <t>A_TAU_H_UP</t>
        </is>
      </c>
      <c r="D8" s="9" t="inlineStr">
        <is>
          <t>CORE / 합격성 O</t>
        </is>
      </c>
      <c r="E8" s="9" t="inlineStr">
        <is>
          <t>고전단 유동 저항 (실제 최고 RPM)</t>
        </is>
      </c>
      <c r="F8" s="9" t="inlineStr">
        <is>
          <t>Pa</t>
        </is>
      </c>
      <c r="G8" s="9" t="inlineStr">
        <is>
          <t>Up 또는 공유 turnaround 중 해당 채널에서 유효한 측정 최고 RPM Step의 대표 전단응력. 더 높은 RPM이 부적격하면 낮은 RPM으로 대체하지 않고 NO VALUE.</t>
        </is>
      </c>
      <c r="H8" s="9" t="inlineStr">
        <is>
          <t>그 측정에서 실제로 도달한 최고 전단의 유동 저항.</t>
        </is>
      </c>
      <c r="I8" s="9" t="inlineStr">
        <is>
          <t>원심 중 이동성 방향의 대리지표.</t>
        </is>
      </c>
      <c r="J8" s="9" t="inlineStr">
        <is>
          <t>매트릭스 점도 상승 또는 충전재 증가.</t>
        </is>
      </c>
      <c r="K8" s="9" t="inlineStr">
        <is>
          <t>매트릭스 점도 저하.</t>
        </is>
      </c>
      <c r="L8" s="9" t="inlineStr">
        <is>
          <t>5 rpm이 측정되면 4 rpm 응력을 이 지표로 보고하지 않는다. 4 rpm은 중간 측정점이다.</t>
        </is>
      </c>
      <c r="M8" s="9" t="inlineStr">
        <is>
          <t>60초 회전 Step·후반 10초·Torque 10–95% 유효점만 사용. 미충족 시 공란(대체값 없음).</t>
        </is>
      </c>
      <c r="N8" s="9" t="inlineStr">
        <is>
          <t>RSD: GOOD ≤10, REVIEW ≤20</t>
        </is>
      </c>
    </row>
    <row r="9" ht="62" customHeight="1">
      <c r="B9" s="9" t="inlineStr">
        <is>
          <t>T1 Lot 동일성 핵심</t>
        </is>
      </c>
      <c r="C9" s="9" t="inlineStr">
        <is>
          <t>A_ETA_MIN_UP</t>
        </is>
      </c>
      <c r="D9" s="9" t="inlineStr">
        <is>
          <t>CORE / 합격성 O</t>
        </is>
      </c>
      <c r="E9" s="9" t="inlineStr">
        <is>
          <t>최저 측정 RPM 겉보기 점도 — 상승</t>
        </is>
      </c>
      <c r="F9" s="9" t="inlineStr">
        <is>
          <t>cP</t>
        </is>
      </c>
      <c r="G9" s="9" t="inlineStr">
        <is>
          <t>분석 가능한 Up Step 중 실제 최저 RPM의 대표 겉보기 점도. 실제 최저 측정 RPM 사용; SSI의 고정 0.5 rpm 분자와 다름.</t>
        </is>
      </c>
      <c r="H9" s="9" t="inlineStr">
        <is>
          <t>상승 경로에서 가장 낮은 전단의 겉보기 점도.</t>
        </is>
      </c>
      <c r="I9" s="9" t="inlineStr">
        <is>
          <t>휴지 구조가 흐름에 저항하는 점성 크기.</t>
        </is>
      </c>
      <c r="J9" s="9" t="inlineStr">
        <is>
          <t>저전단 저항 증가.</t>
        </is>
      </c>
      <c r="K9" s="9" t="inlineStr">
        <is>
          <t>저전단 저항 감소.</t>
        </is>
      </c>
      <c r="L9" s="9" t="inlineStr">
        <is>
          <t>실제 최저 측정 RPM 사용; SSI의 고정 0.5 rpm 분자와 다름. 0.35 rpm이 있으면 그 점도를 쓴다. 최저 RPM이 반복마다 다르면 Lot 통계는 REVIEW.</t>
        </is>
      </c>
      <c r="M9" s="9" t="inlineStr">
        <is>
          <t>60초 회전 Step·후반 10초·Torque 10–95% 유효점만 사용. 미충족 시 공란(대체값 없음).</t>
        </is>
      </c>
      <c r="N9" s="9" t="inlineStr">
        <is>
          <t>RSD: GOOD ≤10, REVIEW ≤20</t>
        </is>
      </c>
    </row>
    <row r="10" ht="93" customHeight="1">
      <c r="B10" s="9" t="inlineStr">
        <is>
          <t>T1 Lot 동일성 핵심</t>
        </is>
      </c>
      <c r="C10" s="9" t="inlineStr">
        <is>
          <t>A_ETA_HIGH</t>
        </is>
      </c>
      <c r="D10" s="9" t="inlineStr">
        <is>
          <t>CORE / 합격성 O</t>
        </is>
      </c>
      <c r="E10" s="9" t="inlineStr">
        <is>
          <t>고전단 겉보기 점도 (실제 최고 RPM)</t>
        </is>
      </c>
      <c r="F10" s="9" t="inlineStr">
        <is>
          <t>cP</t>
        </is>
      </c>
      <c r="G10" s="9" t="inlineStr">
        <is>
          <t>해당 채널에서 사용 가능한 실제 최고 RPM Step의 겉보기 점도. 한 번만 측정되면 공유 turnaround 점도를 A_ETA_HIGH에만 기록하고, 더 높은 RPM이 부적격하면 낮은 RPM으로 대체하지 않는다.</t>
        </is>
      </c>
      <c r="H10" s="9" t="inlineStr">
        <is>
          <t>프로그램 최고 전단에서의 겉보기 점도.</t>
        </is>
      </c>
      <c r="I10" s="9" t="inlineStr">
        <is>
          <t>원심에 가까운 고전단 유동 저항.</t>
        </is>
      </c>
      <c r="J10" s="9" t="inlineStr">
        <is>
          <t>고전단 저항 큼.</t>
        </is>
      </c>
      <c r="K10" s="9" t="inlineStr">
        <is>
          <t>고전단 저항 작음.</t>
        </is>
      </c>
      <c r="L10" s="9" t="inlineStr">
        <is>
          <t>최고 RPM이 Up과 Down에 각각 따로 측정되면 A_ETA_HIGH_UP/DN을 따로 본다. 단일 turnaround 값은 복제하지 않는다. 4 rpm reference로 대체하지 않는다.</t>
        </is>
      </c>
      <c r="M10" s="9" t="inlineStr">
        <is>
          <t>60초 회전 Step·후반 10초·Torque 10–95% 유효점만 사용. 미충족 시 공란(대체값 없음).</t>
        </is>
      </c>
      <c r="N10" s="9" t="inlineStr">
        <is>
          <t>RSD: GOOD ≤10, REVIEW ≤20</t>
        </is>
      </c>
    </row>
    <row r="11" ht="77.5" customHeight="1">
      <c r="B11" s="9" t="inlineStr">
        <is>
          <t>T1 Lot 동일성 핵심</t>
        </is>
      </c>
      <c r="C11" s="9" t="inlineStr">
        <is>
          <t>A_SSI_FIELD_0P2_2</t>
        </is>
      </c>
      <c r="D11" s="9" t="inlineStr">
        <is>
          <t>CORE / 합격성 O</t>
        </is>
      </c>
      <c r="E11" s="9" t="inlineStr">
        <is>
          <t>현장 전단박화 지수 SSI (0.2/2 rpm)</t>
        </is>
      </c>
      <c r="F11" s="9" t="inlineStr">
        <is>
          <t>-</t>
        </is>
      </c>
      <c r="G11" s="9" t="inlineStr">
        <is>
          <t>eta_up(0.2 rpm) / eta_up(2.0 rpm)</t>
        </is>
      </c>
      <c r="H11" s="9" t="inlineStr">
        <is>
          <t>현장 전단박화 지수. 정확한 0.2 rpm과 2.0 rpm Up 대표 점도의 비.</t>
        </is>
      </c>
      <c r="I11" s="9" t="inlineStr">
        <is>
          <t>저전단 구조 대비 2 rpm 유동화.</t>
        </is>
      </c>
      <c r="J11" s="9" t="inlineStr">
        <is>
          <t>0.2 rpm 대비 2 rpm 점도가 낮음.</t>
        </is>
      </c>
      <c r="K11" s="9" t="inlineStr">
        <is>
          <t>뉴턴 거동에 가까워짐.</t>
        </is>
      </c>
      <c r="L11" s="9" t="inlineStr">
        <is>
          <t>0.2 대신 0.35 또는 0.5를 쓰지 않는다. 2.0 대신 1.5 또는 3.0을 쓰지 않는다. 보간·모델값 금지.</t>
        </is>
      </c>
      <c r="M11" s="9" t="inlineStr">
        <is>
          <t>같은 채널에서 두 실측 Up Step representative가 존재해야 한다. 다른 RPM, 보간값 또는 모델값으로 대체하지 않는다.</t>
        </is>
      </c>
      <c r="N11" s="9" t="inlineStr">
        <is>
          <t>RSD: GOOD ≤10, REVIEW ≤20</t>
        </is>
      </c>
    </row>
    <row r="12" ht="62" customHeight="1">
      <c r="B12" s="9" t="inlineStr">
        <is>
          <t>T1 Lot 동일성 핵심</t>
        </is>
      </c>
      <c r="C12" s="9" t="inlineStr">
        <is>
          <t>A_SSI_QC_0P5_5</t>
        </is>
      </c>
      <c r="D12" s="9" t="inlineStr">
        <is>
          <t>CORE / 합격성 O</t>
        </is>
      </c>
      <c r="E12" s="9" t="inlineStr">
        <is>
          <t>Step-flow QC 전단박화 지수 SSI (0.5/5 rpm)</t>
        </is>
      </c>
      <c r="F12" s="9" t="inlineStr">
        <is>
          <t>-</t>
        </is>
      </c>
      <c r="G12" s="9" t="inlineStr">
        <is>
          <t>eta_up(0.5 rpm) / eta(5.0 rpm Up endpoint 또는 실제 shared turnaround)</t>
        </is>
      </c>
      <c r="H12" s="9" t="inlineStr">
        <is>
          <t>Step-flow QC 전단박화 지수. 정확한 0.5 rpm Up과 5.0 rpm endpoint의 비.</t>
        </is>
      </c>
      <c r="I12" s="9" t="inlineStr">
        <is>
          <t>0.5 rpm 구조 대비 5 rpm 유동화.</t>
        </is>
      </c>
      <c r="J12" s="9" t="inlineStr">
        <is>
          <t>0.5 rpm 대비 5 rpm 점도가 낮음.</t>
        </is>
      </c>
      <c r="K12" s="9" t="inlineStr">
        <is>
          <t>뉴턴 거동에 가까워짐.</t>
        </is>
      </c>
      <c r="L12" s="9" t="inlineStr">
        <is>
          <t>0.5 대신 0.35를 쓰지 않는다. 5.0 대신 4.0을 쓰지 않는다. 실제 최저/최고 RPM 비율로 정의를 바꾸지 않는다.</t>
        </is>
      </c>
      <c r="M12" s="9" t="inlineStr">
        <is>
          <t>같은 채널에서 두 실측 Step representative가 존재해야 한다. 0.35 또는 4 rpm으로 대체하지 않는다.</t>
        </is>
      </c>
      <c r="N12" s="9" t="inlineStr">
        <is>
          <t>RSD: GOOD ≤10, REVIEW ≤20</t>
        </is>
      </c>
    </row>
    <row r="13" ht="62" customHeight="1">
      <c r="B13" s="9" t="inlineStr">
        <is>
          <t>T1 Lot 동일성 핵심</t>
        </is>
      </c>
      <c r="C13" s="9" t="inlineStr">
        <is>
          <t>REST_STABILIZATION</t>
        </is>
      </c>
      <c r="D13" s="9" t="inlineStr">
        <is>
          <t>CORE / 합격성 O</t>
        </is>
      </c>
      <c r="E13" s="9" t="inlineStr">
        <is>
          <t>무전단 구조 안정화</t>
        </is>
      </c>
      <c r="F13" s="9" t="inlineStr">
        <is>
          <t>-</t>
        </is>
      </c>
      <c r="G13" s="9" t="inlineStr">
        <is>
          <t>0 rpm, 25 °C, 목표 600초</t>
        </is>
      </c>
      <c r="H13" s="9" t="inlineStr">
        <is>
          <t>0 rpm, 25 °C, 목표 600초. 시료 이송 중 구조 교란 회복을 위한 전처리 구간. 유동·H-B·SSI 계산에서는 제외한다.</t>
        </is>
      </c>
      <c r="I13" s="9" t="inlineStr">
        <is>
          <t>측정 위치로 옮기는 동안 생긴 구조 교란을 유동 측정 전에 회복한다.</t>
        </is>
      </c>
      <c r="J13" s="9" t="inlineStr">
        <is>
          <t>—</t>
        </is>
      </c>
      <c r="K13" s="9" t="inlineStr">
        <is>
          <t>—</t>
        </is>
      </c>
      <c r="L13" s="9" t="inlineStr">
        <is>
          <t>moving Step, SSI 후보, H-B 후보, hysteresis 후보가 아니다.</t>
        </is>
      </c>
      <c r="M13" s="9" t="inlineStr">
        <is>
          <t>유동 지표에서는 제외하고 시험 전처리 QC로만 평가한다.</t>
        </is>
      </c>
      <c r="N13" s="9" t="inlineStr">
        <is>
          <t>—</t>
        </is>
      </c>
    </row>
    <row r="14" ht="62" customHeight="1">
      <c r="B14" s="9" t="inlineStr">
        <is>
          <t>T1 Lot 동일성 핵심</t>
        </is>
      </c>
      <c r="C14" s="9" t="inlineStr">
        <is>
          <t>A_SSI_DECADE</t>
        </is>
      </c>
      <c r="D14" s="9" t="inlineStr">
        <is>
          <t>CORE / 합격성 O</t>
        </is>
      </c>
      <c r="E14" s="9" t="inlineStr">
        <is>
          <t>실측 10배 RPM 점도비 SSI</t>
        </is>
      </c>
      <c r="F14" s="9" t="inlineStr">
        <is>
          <t>-</t>
        </is>
      </c>
      <c r="G14" s="9" t="inlineStr">
        <is>
          <t>eta(low RPM) / eta(high RPM), high RPM / low RPM = 10 within configured tolerance</t>
        </is>
      </c>
      <c r="H14" s="9" t="inlineStr">
        <is>
          <t>프로토콜에서 실제로 측정된 10배 RPM 쌍의 점도비. pair_id별 독립 지표.</t>
        </is>
      </c>
      <c r="I14" s="9" t="inlineStr">
        <is>
          <t>공식 0.2/2, 0.5/5 이외의 실측 decade 쌍을 프로토콜 변경에 맞춰 보존한다.</t>
        </is>
      </c>
      <c r="J14" s="9" t="inlineStr">
        <is>
          <t>저점 대비 고점 점도가 낮음.</t>
        </is>
      </c>
      <c r="K14" s="9" t="inlineStr">
        <is>
          <t>뉴턴 거동에 가까워짐.</t>
        </is>
      </c>
      <c r="L14" s="9" t="inlineStr">
        <is>
          <t>서로 다른 pair를 같은 Lot 통계에 혼합하지 않는다. 0 rpm pair는 만들지 않는다. 0.35/4는 decade가 아니다.</t>
        </is>
      </c>
      <c r="M14" s="9" t="inlineStr">
        <is>
          <t>pair_id별 독립 지표로 관리한다. 서로 다른 pair를 같은 Lot 통계에 혼합하지 않는다.</t>
        </is>
      </c>
      <c r="N14" s="9" t="inlineStr">
        <is>
          <t>RSD: GOOD ≤10, REVIEW ≤20</t>
        </is>
      </c>
    </row>
    <row r="15" ht="62" customHeight="1">
      <c r="B15" s="9" t="inlineStr">
        <is>
          <t>T1 Lot 동일성 핵심</t>
        </is>
      </c>
      <c r="C15" s="9" t="inlineStr">
        <is>
          <t>A_ETA_LOW_DN</t>
        </is>
      </c>
      <c r="D15" s="9" t="inlineStr">
        <is>
          <t>CORE / 합격성 O</t>
        </is>
      </c>
      <c r="E15" s="9" t="inlineStr">
        <is>
          <t>저전단 겉보기 점도 — 하강</t>
        </is>
      </c>
      <c r="F15" s="9" t="inlineStr">
        <is>
          <t>cP</t>
        </is>
      </c>
      <c r="G15" s="9" t="inlineStr">
        <is>
          <t>분석 가능한 Down Step 중 실제 최저 RPM의 대표 겉보기 점도.</t>
        </is>
      </c>
      <c r="H15" s="9" t="inlineStr">
        <is>
          <t>고전단 이력 후 가장 낮은 하강 전단의 겉보기 점도.</t>
        </is>
      </c>
      <c r="I15" s="9" t="inlineStr">
        <is>
          <t>전단 이력 후 저전단 저항.</t>
        </is>
      </c>
      <c r="J15" s="9" t="inlineStr">
        <is>
          <t>잔류 저항 큼.</t>
        </is>
      </c>
      <c r="K15" s="9" t="inlineStr">
        <is>
          <t>잔류 저항 작음.</t>
        </is>
      </c>
      <c r="L15" s="9" t="inlineStr">
        <is>
          <t>Up 최저 RPM과 다르면 그 RPM을 그대로 쓰고 비고에 불일치를 남긴다. 점도 회복률의 분모로 직접 나누지 않는다.</t>
        </is>
      </c>
      <c r="M15" s="9" t="inlineStr">
        <is>
          <t>60초 회전 Step·후반 10초·Torque 10–95% 유효점만 사용. 미충족 시 공란(대체값 없음).</t>
        </is>
      </c>
      <c r="N15" s="9" t="inlineStr">
        <is>
          <t>RSD: GOOD ≤10, REVIEW ≤20</t>
        </is>
      </c>
    </row>
    <row r="16" ht="77.5" customHeight="1">
      <c r="B16" s="9" t="inlineStr">
        <is>
          <t>T1 Lot 동일성 핵심</t>
        </is>
      </c>
      <c r="C16" s="9" t="inlineStr">
        <is>
          <t>D_RHO25</t>
        </is>
      </c>
      <c r="D16" s="9" t="inlineStr">
        <is>
          <t>CORE / 합격성 O</t>
        </is>
      </c>
      <c r="E16" s="9" t="inlineStr">
        <is>
          <t>25 °C 탈포 젤 겉보기 밀도 ρ25</t>
        </is>
      </c>
      <c r="F16" s="9" t="inlineStr">
        <is>
          <t>g/mL</t>
        </is>
      </c>
      <c r="G16" s="9" t="inlineStr">
        <is>
          <t>독립 충전별 ρ = (m충전 − m공용기) / V교정(시험온도 물 교정 부피). 밀도계 직독값이 있으면 직독값을 쓰고 질량식과 교차확인.</t>
        </is>
      </c>
      <c r="H16" s="9" t="inlineStr">
        <is>
          <t>젤 단위 부피당 질량. 수지·가소제 대 실리카 등 충전재의 배합비와 잔류 기포량이 합쳐진 값.</t>
        </is>
      </c>
      <c r="I16" s="9" t="inlineStr">
        <is>
          <t>원심 중 젤이 혈청층과 혈구·혈병층 사이 어느 높이에 정착하는지를 정하는 1차 인자(부력 평형 위치).</t>
        </is>
      </c>
      <c r="J16" s="9" t="inlineStr">
        <is>
          <t>충전재 과량·가소제 부족·계량 오차 가능. 장벽이 혈구층 쪽으로 낮게 형성되거나 상승 이동이 늦어질 수 있음.</t>
        </is>
      </c>
      <c r="K16" s="9" t="inlineStr">
        <is>
          <t>기포 혼입·충전재 부족 가능. 장벽이 혈청층 쪽으로 뜨거나 혈청 중 젤 파편 위험.</t>
        </is>
      </c>
      <c r="L16" s="9" t="inlineStr">
        <is>
          <t>밀도는 '어디에 정착하는가'만 말하며, '제때 이동·정착·재겔화하는가'는 유변 지표가 담당. DVNext CSV의 Density 열은 장비 입력 설정값이므로 사용하지 않음. 온도 보정 없음.</t>
        </is>
      </c>
      <c r="M16" s="9" t="inlineStr">
        <is>
          <t>시험온도 25±0.5 °C, 탈포·충전·상면 정리 조건 고정, 독립 재충전 ≥3회. 소량 중량법은 기준법 비교로 적격화된 경우만.</t>
        </is>
      </c>
      <c r="N16" s="9" t="inlineStr">
        <is>
          <t>SD: GOOD ≤0.002, REVIEW ≤0.005</t>
        </is>
      </c>
    </row>
    <row r="17" ht="93" customHeight="1">
      <c r="B17" s="9" t="inlineStr">
        <is>
          <t>T2 구조 이력·회복</t>
        </is>
      </c>
      <c r="C17" s="9" t="inlineStr">
        <is>
          <t>A_DU_L</t>
        </is>
      </c>
      <c r="D17" s="9" t="inlineStr">
        <is>
          <t>PROCESS_SENSITIVE / 합격성 O</t>
        </is>
      </c>
      <c r="E17" s="9" t="inlineStr">
        <is>
          <t>저전단 잔류 구조율 D/U(0.5 rpm)</t>
        </is>
      </c>
      <c r="F17" s="9" t="inlineStr">
        <is>
          <t>%</t>
        </is>
      </c>
      <c r="G17" s="9" t="inlineStr">
        <is>
          <t>τ_down(0.5 rpm) / τ_up(0.5 rpm) × 100 (동일 전단률, 각 Step 대표값).</t>
        </is>
      </c>
      <c r="H17" s="9" t="inlineStr">
        <is>
          <t>최고 전단 이력 후 하강 경로에서 같은 저전단으로 돌아왔을 때 남아 있거나 재형성된 구조의 비율(Method A 시간척도).</t>
        </is>
      </c>
      <c r="I17" s="9" t="inlineStr">
        <is>
          <t>원심으로 유동화된 젤이 전단 감소 시 구조를 다시 세우는 경향. 장벽 재겔화의 간접 지표.</t>
        </is>
      </c>
      <c r="J17" s="9" t="inlineStr">
        <is>
          <t>100%에 가까울수록 전단 이력 영향이 작거나 빠르게 재구축됨.</t>
        </is>
      </c>
      <c r="K17" s="9" t="inlineStr">
        <is>
          <t>전단에 의한 구조 손실이 크고 수십 초 내 재구축이 부족. Method B 회복 확인 우선.</t>
        </is>
      </c>
      <c r="L17" s="9" t="inlineStr">
        <is>
          <t>100% 초과는 하강 중 구조 형성(rheopexy), 휴지 구조 미평형, 벽면 미끄럼 변화 등을 조사. 무전단 휴지 회복률이 아님. 하강 Torque가 10% 미만이면 값 대신 CENSORED(검출하한 A_DUL_FLOOR 미만)로 표시.</t>
        </is>
      </c>
      <c r="M17" s="9" t="inlineStr">
        <is>
          <t>60초 회전 Step·후반 10초·Torque 10–95% 유효점만 사용. 미충족 시 공란(대체값 없음). Up·Down 모두 유효해야 계산.</t>
        </is>
      </c>
      <c r="N17" s="9" t="inlineStr">
        <is>
          <t>SD: GOOD ≤2, REVIEW ≤5</t>
        </is>
      </c>
    </row>
    <row r="18" ht="77.5" customHeight="1">
      <c r="B18" s="9" t="inlineStr">
        <is>
          <t>T2 구조 이력·회복</t>
        </is>
      </c>
      <c r="C18" s="9" t="inlineStr">
        <is>
          <t>A_DU_M</t>
        </is>
      </c>
      <c r="D18" s="9" t="inlineStr">
        <is>
          <t>PROCESS_SENSITIVE / 합격성 O</t>
        </is>
      </c>
      <c r="E18" s="9" t="inlineStr">
        <is>
          <t>중간 전단 잔류 구조율 D/U(2 rpm)</t>
        </is>
      </c>
      <c r="F18" s="9" t="inlineStr">
        <is>
          <t>%</t>
        </is>
      </c>
      <c r="G18" s="9" t="inlineStr">
        <is>
          <t>τ_down(2 rpm) / τ_up(2 rpm) × 100.</t>
        </is>
      </c>
      <c r="H18" s="9" t="inlineStr">
        <is>
          <t>중간 전단에서 고전단 이력 전후 유동 저항의 비. 저전단 D/U보다 Torque 여유가 커 정밀도가 좋음.</t>
        </is>
      </c>
      <c r="I18" s="9" t="inlineStr">
        <is>
          <t>원심 감속 구간에서의 구조 재형성 경향.</t>
        </is>
      </c>
      <c r="J18" s="9" t="inlineStr">
        <is>
          <t>전단 이력 영향이 작음.</t>
        </is>
      </c>
      <c r="K18" s="9" t="inlineStr">
        <is>
          <t>고전단 이력으로 구조가 더 많이 손상됨.</t>
        </is>
      </c>
      <c r="L18" s="9" t="inlineStr">
        <is>
          <t>A_DU_L과 함께 해석. 단독 합부 판단 금지.</t>
        </is>
      </c>
      <c r="M18" s="9" t="inlineStr">
        <is>
          <t>60초 회전 Step·후반 10초·Torque 10–95% 유효점만 사용. 미충족 시 공란(대체값 없음). Up·Down 모두 유효해야 계산.</t>
        </is>
      </c>
      <c r="N18" s="9" t="inlineStr">
        <is>
          <t>SD: GOOD ≤2, REVIEW ≤5</t>
        </is>
      </c>
    </row>
    <row r="19" ht="46.5" customHeight="1">
      <c r="B19" s="9" t="inlineStr">
        <is>
          <t>T2 구조 이력·회복</t>
        </is>
      </c>
      <c r="C19" s="9" t="inlineStr">
        <is>
          <t>A_HYS_REL</t>
        </is>
      </c>
      <c r="D19" s="9" t="inlineStr">
        <is>
          <t>PROCESS_SENSITIVE / 합격성 O</t>
        </is>
      </c>
      <c r="E19" s="9" t="inlineStr">
        <is>
          <t>상대 응력 히스테리시스</t>
        </is>
      </c>
      <c r="F19" s="9" t="inlineStr">
        <is>
          <t>%</t>
        </is>
      </c>
      <c r="G19" s="9" t="inlineStr">
        <is>
          <t>공통 전단률에서 |τ_up − τ_down| 사다리꼴 적분 / τ_up 사다리꼴 적분 × 100 (04_2와 동일 계산).</t>
        </is>
      </c>
      <c r="H19" s="9" t="inlineStr">
        <is>
          <t>상승·하강 경로 전체에서 전단 이력으로 생긴 곡선 차이의 정규화 크기(구조 붕괴와 재구축의 불균형 총량).</t>
        </is>
      </c>
      <c r="I19" s="9" t="inlineStr">
        <is>
          <t>원심 전단 이력에 대한 구조 취약성 비교.</t>
        </is>
      </c>
      <c r="J19" s="9" t="inlineStr">
        <is>
          <t>전단 이력에 의한 구조 변화가 큼.</t>
        </is>
      </c>
      <c r="K19" s="9" t="inlineStr">
        <is>
          <t>상승·하강 곡선이 유사. 구조가 안정하거나 매우 빠르게 재구축.</t>
        </is>
      </c>
      <c r="L19" s="9" t="inlineStr">
        <is>
          <t>γ̇ 간격이 넓은 고전단 구간에 가중됨. Step 구성·유지시간·rest를 고정한 경우만 Lot 간 비교. 에너지 값이 아님.</t>
        </is>
      </c>
      <c r="M19" s="9" t="inlineStr">
        <is>
          <t>공통 전단률 5쌍 이상 권장(4쌍 REVIEW).</t>
        </is>
      </c>
      <c r="N19" s="9" t="inlineStr">
        <is>
          <t>SD: GOOD ≤1, REVIEW ≤2</t>
        </is>
      </c>
    </row>
    <row r="20" ht="108.5" customHeight="1">
      <c r="B20" s="9" t="inlineStr">
        <is>
          <t>T2 구조 이력·회복</t>
        </is>
      </c>
      <c r="C20" s="9" t="inlineStr">
        <is>
          <t>A_BRK_PEAK</t>
        </is>
      </c>
      <c r="D20" s="9" t="inlineStr">
        <is>
          <t>PROCESS_SENSITIVE / 합격성 O</t>
        </is>
      </c>
      <c r="E20" s="9" t="inlineStr">
        <is>
          <t>최고 전단 Step 내 구조 붕괴율</t>
        </is>
      </c>
      <c r="F20" s="9" t="inlineStr">
        <is>
          <t>%</t>
        </is>
      </c>
      <c r="G20" s="9" t="inlineStr">
        <is>
          <t>Up 최고 RPM Step에서 (τ_peak − τ_대표) / τ_peak × 100. τ_peak는 Step 초기 30초(또는 절반) 내 Torque 유효점의 3점 이동중앙값 최대.</t>
        </is>
      </c>
      <c r="H20" s="9" t="inlineStr">
        <is>
          <t>일정한 고전단 유지 중 시간에 따라 구조가 계속 해체되는 정도(요변성의 붕괴 측면). 0 % 기준의 차이형 지표.</t>
        </is>
      </c>
      <c r="I20" s="9" t="inlineStr">
        <is>
          <t>원심 중 지속 전단에서 젤이 얼마나 더 묽어지는가.</t>
        </is>
      </c>
      <c r="J20" s="9" t="inlineStr">
        <is>
          <t>지속 전단 시 구조 약화가 큼.</t>
        </is>
      </c>
      <c r="K20" s="9" t="inlineStr">
        <is>
          <t>0에 가까우면 구조가 전단에 안정하거나 Step 초기에 이미 평형. 음수는 대표창 응력이 초기 peak보다 높다는 뜻(peak 미검출 또는 전단 중 구조 형성) — 원시곡선 확인.</t>
        </is>
      </c>
      <c r="L20" s="9" t="inlineStr">
        <is>
          <t>Step 초기 수 초의 장비 응답·탄성 부하 영향이 포함됨. 최고 RPM이 다른 프로그램끼리는 비교 불가. 평균이 0 부근이므로 RSD는 산정하지 않고 SD·Range·부호 일관성으로 반복성을 봄. 부호 전환이 있으면 반복성 GOOD이라도 [SIGN] REVIEW.</t>
        </is>
      </c>
      <c r="M20" s="9" t="inlineStr">
        <is>
          <t>60초 회전 Step·후반 10초·Torque 10–95% 유효점만 사용. 미충족 시 공란(대체값 없음).</t>
        </is>
      </c>
      <c r="N20" s="9" t="inlineStr">
        <is>
          <t>SD: GOOD ≤1, REVIEW ≤2 | RSD 미적용(0 기준), 부호 전환 시 [SIGN] REVIEW</t>
        </is>
      </c>
    </row>
    <row r="21" ht="62" customHeight="1">
      <c r="B21" s="9" t="inlineStr">
        <is>
          <t>T2 구조 이력·회복</t>
        </is>
      </c>
      <c r="C21" s="9" t="inlineStr">
        <is>
          <t>A_STATIC_YIELD_APPROX_UP</t>
        </is>
      </c>
      <c r="D21" s="9" t="inlineStr">
        <is>
          <t>PROCESS_SENSITIVE / 합격성 O</t>
        </is>
      </c>
      <c r="E21" s="9" t="inlineStr">
        <is>
          <t>근사 정적 항복응력 — 상승 Start-up</t>
        </is>
      </c>
      <c r="F21" s="9" t="inlineStr">
        <is>
          <t>Pa</t>
        </is>
      </c>
      <c r="G21" s="9" t="inlineStr">
        <is>
          <t>분석 가능한 Up 최저 RPM Step의 start-up 검색창에서 3점 이동중앙값 응력 최대의 절대값.</t>
        </is>
      </c>
      <c r="H21" s="9" t="inlineStr">
        <is>
          <t>초기 저전단에서 흐름이 시작될 때의 응력 피크. A_OVS_L(초과율 %)과 다른 절대 응력이다.</t>
        </is>
      </c>
      <c r="I21" s="9" t="inlineStr">
        <is>
          <t>휴지 구조의 흐름 개시 응력에 대한 근사.</t>
        </is>
      </c>
      <c r="J21" s="9" t="inlineStr">
        <is>
          <t>개시 응력 큼.</t>
        </is>
      </c>
      <c r="K21" s="9" t="inlineStr">
        <is>
          <t>개시 응력 작음.</t>
        </is>
      </c>
      <c r="L21" s="9" t="inlineStr">
        <is>
          <t>Vane 정적 항복응력을 대체하지 않음. STRICT는 Torque 10–95% 점만, INCLUSIVE는 정책이 허용하면 범위 밖 점도 peak에 포함한다.</t>
        </is>
      </c>
      <c r="M21" s="9" t="inlineStr">
        <is>
          <t>유효 peak가 있을 것.</t>
        </is>
      </c>
      <c r="N21" s="9" t="inlineStr">
        <is>
          <t>RSD: GOOD ≤15, REVIEW ≤30</t>
        </is>
      </c>
    </row>
    <row r="22" ht="46.5" customHeight="1">
      <c r="B22" s="9" t="inlineStr">
        <is>
          <t>T2 구조 이력·회복</t>
        </is>
      </c>
      <c r="C22" s="9" t="inlineStr">
        <is>
          <t>A_POST_SHEAR_STARTUP_STRESS</t>
        </is>
      </c>
      <c r="D22" s="9" t="inlineStr">
        <is>
          <t>PROCESS_SENSITIVE / 합격성 O</t>
        </is>
      </c>
      <c r="E22" s="9" t="inlineStr">
        <is>
          <t>Post-shear residual start-up stress</t>
        </is>
      </c>
      <c r="F22" s="9" t="inlineStr">
        <is>
          <t>Pa</t>
        </is>
      </c>
      <c r="G22" s="9" t="inlineStr">
        <is>
          <t>Down 방향 실제 최저 RPM Step의 start-up 검색창 응력 피크 절대값.</t>
        </is>
      </c>
      <c r="H22" s="9" t="inlineStr">
        <is>
          <t>고전단 이력 후 저전단으로 돌아왔을 때의 잔류 개시 응력.</t>
        </is>
      </c>
      <c r="I22" s="9" t="inlineStr">
        <is>
          <t>전단 후 남은 구조의 개시 저항.</t>
        </is>
      </c>
      <c r="J22" s="9" t="inlineStr">
        <is>
          <t>잔류 개시 응력 큼.</t>
        </is>
      </c>
      <c r="K22" s="9" t="inlineStr">
        <is>
          <t>잔류 개시 응력 작음.</t>
        </is>
      </c>
      <c r="L22" s="9" t="inlineStr">
        <is>
          <t>Up 최저 RPM과 다르면 REVIEW. 동일 RPM 전후 비는 A_POST_SHEAR_STRESS_RETENTION.</t>
        </is>
      </c>
      <c r="M22" s="9" t="inlineStr">
        <is>
          <t>유효 peak가 있을 것.</t>
        </is>
      </c>
      <c r="N22" s="9" t="inlineStr">
        <is>
          <t>RSD: GOOD ≤15, REVIEW ≤30</t>
        </is>
      </c>
    </row>
    <row r="23" ht="46.5" customHeight="1">
      <c r="B23" s="9" t="inlineStr">
        <is>
          <t>T2 구조 이력·회복</t>
        </is>
      </c>
      <c r="C23" s="9" t="inlineStr">
        <is>
          <t>A_POST_SHEAR_STRESS_RETENTION</t>
        </is>
      </c>
      <c r="D23" s="9" t="inlineStr">
        <is>
          <t>PROCESS_SENSITIVE / 합격성 O</t>
        </is>
      </c>
      <c r="E23" s="9" t="inlineStr">
        <is>
          <t>Post-shear stress retention</t>
        </is>
      </c>
      <c r="F23" s="9" t="inlineStr">
        <is>
          <t>%</t>
        </is>
      </c>
      <c r="G23" s="9" t="inlineStr">
        <is>
          <t>동일 최저 공통 RPM에서 Down peak stress / Up peak stress × 100. 공통 RPM이 없으면 NO VALUE.</t>
        </is>
      </c>
      <c r="H23" s="9" t="inlineStr">
        <is>
          <t>같은 저전단에서 고전단 이력 전후 개시 응력의 유지 비율.</t>
        </is>
      </c>
      <c r="I23" s="9" t="inlineStr">
        <is>
          <t>구조 유지의 직접 비교.</t>
        </is>
      </c>
      <c r="J23" s="9" t="inlineStr">
        <is>
          <t>개시 응력이 유지됨.</t>
        </is>
      </c>
      <c r="K23" s="9" t="inlineStr">
        <is>
          <t>개시 응력이 줄어듦.</t>
        </is>
      </c>
      <c r="L23" s="9" t="inlineStr">
        <is>
          <t>plateau retention과 다르다. 보간하지 않는다.</t>
        </is>
      </c>
      <c r="M23" s="9" t="inlineStr">
        <is>
          <t>Up·Down 공통 RPM과 두 peak가 있을 것.</t>
        </is>
      </c>
      <c r="N23" s="9" t="inlineStr">
        <is>
          <t>SD: GOOD ≤5, REVIEW ≤10</t>
        </is>
      </c>
    </row>
    <row r="24" ht="77.5" customHeight="1">
      <c r="B24" s="9" t="inlineStr">
        <is>
          <t>T2 구조 이력·회복</t>
        </is>
      </c>
      <c r="C24" s="9" t="inlineStr">
        <is>
          <t>A_ETA_RECOVERY_LOW</t>
        </is>
      </c>
      <c r="D24" s="9" t="inlineStr">
        <is>
          <t>PROCESS_SENSITIVE / 합격성 O</t>
        </is>
      </c>
      <c r="E24" s="9" t="inlineStr">
        <is>
          <t>점도 회복률 — 최저 공통 RPM</t>
        </is>
      </c>
      <c r="F24" s="9" t="inlineStr">
        <is>
          <t>%</t>
        </is>
      </c>
      <c r="G24" s="9" t="inlineStr">
        <is>
          <t>Up·Down 모두 분석 가능한 RPM 중 가장 낮은 RPM에서 η_down / η_up × 100. 점도 열에서 계산.</t>
        </is>
      </c>
      <c r="H24" s="9" t="inlineStr">
        <is>
          <t>최저 공통 전단에서의 겉보기 점도 회복률.</t>
        </is>
      </c>
      <c r="I24" s="9" t="inlineStr">
        <is>
          <t>고전단 이력 후 저전단 점도가 얼마나 돌아오는가.</t>
        </is>
      </c>
      <c r="J24" s="9" t="inlineStr">
        <is>
          <t>점도 회복이 큼.</t>
        </is>
      </c>
      <c r="K24" s="9" t="inlineStr">
        <is>
          <t>점도 회복이 작음.</t>
        </is>
      </c>
      <c r="L24" s="9" t="inlineStr">
        <is>
          <t>low_shear_recovery_pct(응력비)와 정의를 바꾸지 않는다. 공통 RPM이 없으면 보간하지 않고 NO VALUE. 유일한 공통점이 단일 turnaround이면 같은 Step을 한 번만 세고 회복률은 100%다.</t>
        </is>
      </c>
      <c r="M24" s="9" t="inlineStr">
        <is>
          <t>공통 RPM이 있을 것.</t>
        </is>
      </c>
      <c r="N24" s="9" t="inlineStr">
        <is>
          <t>SD: GOOD ≤3, REVIEW ≤6</t>
        </is>
      </c>
    </row>
    <row r="25" ht="108.5" customHeight="1">
      <c r="B25" s="9" t="inlineStr">
        <is>
          <t>T2 구조 이력·회복</t>
        </is>
      </c>
      <c r="C25" s="9" t="inlineStr">
        <is>
          <t>A_HYS_AREA_SIGNED</t>
        </is>
      </c>
      <c r="D25" s="9" t="inlineStr">
        <is>
          <t>PROCESS_SENSITIVE / 합격성 O</t>
        </is>
      </c>
      <c r="E25" s="9" t="inlineStr">
        <is>
          <t>응력 히스테리시스 signed area</t>
        </is>
      </c>
      <c r="F25" s="9" t="inlineStr">
        <is>
          <t>Pa/s</t>
        </is>
      </c>
      <c r="G25" s="9" t="inlineStr">
        <is>
          <t>공통 shear-rate pair를 γ̇ 오름차순으로 (τ_up − τ_down) 사다리꼴 적분.</t>
        </is>
      </c>
      <c r="H25" s="9" t="inlineStr">
        <is>
          <t>상승·하강 응력 차이의 부호 있는 면적.</t>
        </is>
      </c>
      <c r="I25" s="9" t="inlineStr">
        <is>
          <t>이력의 방향(하강이 더 낮은지).</t>
        </is>
      </c>
      <c r="J25" s="9" t="inlineStr">
        <is>
          <t>하강 응력이 더 낮음.</t>
        </is>
      </c>
      <c r="K25" s="9" t="inlineStr">
        <is>
          <t>하강 응력이 더 높거나 차이가 작음.</t>
        </is>
      </c>
      <c r="L25" s="9" t="inlineStr">
        <is>
          <t>공유 turnaround는 적분 상한에 포함되고 그 점의 Δτ는 0이다. 한쪽에만 있는 그 외 RPM은 이 적분에서 빠진다. 공통 pair 2개 미만이면 NO VALUE.</t>
        </is>
      </c>
      <c r="M25" s="9" t="inlineStr">
        <is>
          <t>공통 pair ≥2.</t>
        </is>
      </c>
      <c r="N25" s="9" t="inlineStr">
        <is>
          <t>SD: GOOD ≤5, REVIEW ≤10 | RSD 미적용(0 기준), 부호 전환 시 [SIGN] REVIEW</t>
        </is>
      </c>
    </row>
    <row r="26" ht="46.5" customHeight="1">
      <c r="B26" s="9" t="inlineStr">
        <is>
          <t>T2 구조 이력·회복</t>
        </is>
      </c>
      <c r="C26" s="9" t="inlineStr">
        <is>
          <t>A_HYS_AREA_ABS</t>
        </is>
      </c>
      <c r="D26" s="9" t="inlineStr">
        <is>
          <t>PROCESS_SENSITIVE / 합격성 O</t>
        </is>
      </c>
      <c r="E26" s="9" t="inlineStr">
        <is>
          <t>응력 히스테리시스 absolute area</t>
        </is>
      </c>
      <c r="F26" s="9" t="inlineStr">
        <is>
          <t>Pa/s</t>
        </is>
      </c>
      <c r="G26" s="9" t="inlineStr">
        <is>
          <t>공통 pair에서 |τ_up − τ_down| 사다리꼴 적분.</t>
        </is>
      </c>
      <c r="H26" s="9" t="inlineStr">
        <is>
          <t>부호를 접은 이력 면적.</t>
        </is>
      </c>
      <c r="I26" s="9" t="inlineStr">
        <is>
          <t>경로 차이의 총량.</t>
        </is>
      </c>
      <c r="J26" s="9" t="inlineStr">
        <is>
          <t>경로 차이 큼.</t>
        </is>
      </c>
      <c r="K26" s="9" t="inlineStr">
        <is>
          <t>경로 차이 작음.</t>
        </is>
      </c>
      <c r="L26" s="9" t="inlineStr">
        <is>
          <t>unpaired Step은 제외. A_HYS_REL의 분자.</t>
        </is>
      </c>
      <c r="M26" s="9" t="inlineStr">
        <is>
          <t>공통 pair ≥2.</t>
        </is>
      </c>
      <c r="N26" s="9" t="inlineStr">
        <is>
          <t>SD: GOOD ≤5, REVIEW ≤10</t>
        </is>
      </c>
    </row>
    <row r="27" ht="46.5" customHeight="1">
      <c r="B27" s="9" t="inlineStr">
        <is>
          <t>T2 구조 이력·회복</t>
        </is>
      </c>
      <c r="C27" s="9" t="inlineStr">
        <is>
          <t>B_ETA_BASE</t>
        </is>
      </c>
      <c r="D27" s="9" t="inlineStr">
        <is>
          <t>PROCESS_SENSITIVE / 합격성 O</t>
        </is>
      </c>
      <c r="E27" s="9" t="inlineStr">
        <is>
          <t>3ITT 기준 저전단 점도 η_base</t>
        </is>
      </c>
      <c r="F27" s="9" t="inlineStr">
        <is>
          <t>cP</t>
        </is>
      </c>
      <c r="G27" s="9" t="inlineStr">
        <is>
          <t>Interval 1(저전단) 후반 창의 Torque 유효 평균 점도.</t>
        </is>
      </c>
      <c r="H27" s="9" t="inlineStr">
        <is>
          <t>시험 직전 휴지 구조의 저전단 저항. 회복률 계산의 기준 구조(분모).</t>
        </is>
      </c>
      <c r="I27" s="9" t="inlineStr">
        <is>
          <t>휴지·보관 상태 구조의 기준선.</t>
        </is>
      </c>
      <c r="J27" s="9" t="inlineStr">
        <is>
          <t>휴지 구조가 강함.</t>
        </is>
      </c>
      <c r="K27" s="9" t="inlineStr">
        <is>
          <t>휴지 구조가 약함.</t>
        </is>
      </c>
      <c r="L27" s="9" t="inlineStr">
        <is>
          <t>Method A τ↑(L)과 RPM이 같아도 rest 시간·선행 전단이 다르면 값이 다를 수 있음.</t>
        </is>
      </c>
      <c r="M27" s="9" t="inlineStr">
        <is>
          <t>기준 구간 Torque 10–95%.</t>
        </is>
      </c>
      <c r="N27" s="9" t="inlineStr">
        <is>
          <t>RSD: GOOD ≤10, REVIEW ≤20</t>
        </is>
      </c>
    </row>
    <row r="28" ht="108.5" customHeight="1">
      <c r="B28" s="9" t="inlineStr">
        <is>
          <t>T2 구조 이력·회복</t>
        </is>
      </c>
      <c r="C28" s="9" t="inlineStr">
        <is>
          <t>B_BRK_DECAY</t>
        </is>
      </c>
      <c r="D28" s="9" t="inlineStr">
        <is>
          <t>PROCESS_SENSITIVE / 합격성 O</t>
        </is>
      </c>
      <c r="E28" s="9" t="inlineStr">
        <is>
          <t>3ITT 고전단 구간 붕괴율</t>
        </is>
      </c>
      <c r="F28" s="9" t="inlineStr">
        <is>
          <t>%</t>
        </is>
      </c>
      <c r="G28" s="9" t="inlineStr">
        <is>
          <t>Interval 2에서 (τ_peak − τ_후반창) / τ_peak × 100.</t>
        </is>
      </c>
      <c r="H28" s="9" t="inlineStr">
        <is>
          <t>정해진 고전단 유지 중 구조 해체의 진행 정도(원심 전단 모사 구간의 붕괴량). 0 % 기준의 차이형 지표.</t>
        </is>
      </c>
      <c r="I28" s="9" t="inlineStr">
        <is>
          <t>원심 중 구조 해체의 크기.</t>
        </is>
      </c>
      <c r="J28" s="9" t="inlineStr">
        <is>
          <t>고전단 지속 시 구조 손실이 큼.</t>
        </is>
      </c>
      <c r="K28" s="9" t="inlineStr">
        <is>
          <t>고전단에 대한 구조 안정성이 큼. 음수는 후반 창 응력이 peak보다 높음 — 원시곡선 확인.</t>
        </is>
      </c>
      <c r="L28" s="9" t="inlineStr">
        <is>
          <t>고전단 크기·시간이 실제 원심 조건과 다름. 동일 프로그램 내 상대 비교. 평균이 0 부근이면 RSD 산정 안 함.</t>
        </is>
      </c>
      <c r="M28" s="9" t="inlineStr">
        <is>
          <t>고전단 구간 Torque 10–95%.</t>
        </is>
      </c>
      <c r="N28" s="9" t="inlineStr">
        <is>
          <t>SD: GOOD ≤1, REVIEW ≤2 | RSD 미적용(0 기준), 부호 전환 시 [SIGN] REVIEW</t>
        </is>
      </c>
    </row>
    <row r="29" ht="77.5" customHeight="1">
      <c r="B29" s="9" t="inlineStr">
        <is>
          <t>T2 구조 이력·회복</t>
        </is>
      </c>
      <c r="C29" s="9" t="inlineStr">
        <is>
          <t>B_R60</t>
        </is>
      </c>
      <c r="D29" s="9" t="inlineStr">
        <is>
          <t>PROCESS_SENSITIVE / 합격성 O</t>
        </is>
      </c>
      <c r="E29" s="9" t="inlineStr">
        <is>
          <t>60초 구조 회복률 R60</t>
        </is>
      </c>
      <c r="F29" s="9" t="inlineStr">
        <is>
          <t>%</t>
        </is>
      </c>
      <c r="G29" s="9" t="inlineStr">
        <is>
          <t>Interval 3 시작 후 55–65초 η 평균 / η_base × 100.</t>
        </is>
      </c>
      <c r="H29" s="9" t="inlineStr">
        <is>
          <t>고전단 해제 직후 1분 안에 저전단에서 기준 대비 재형성된 구조의 비율.</t>
        </is>
      </c>
      <c r="I29" s="9" t="inlineStr">
        <is>
          <t>원심 정지 직후 장벽이 다시 굳어 이송·기울임을 견디기 시작하는 초기 속도.</t>
        </is>
      </c>
      <c r="J29" s="9" t="inlineStr">
        <is>
          <t>빠른 재겔화.</t>
        </is>
      </c>
      <c r="K29" s="9" t="inlineStr">
        <is>
          <t>재겔화 지연. 원심 직후 이송·진동 시 장벽 흐트러짐 위험 검토.</t>
        </is>
      </c>
      <c r="L29" s="9" t="inlineStr">
        <is>
          <t>저전단 회전 중 회복(무전단 휴지 회복 아님). 100% 초과는 기준 구간 미평형 또는 기준 이상의 재구축. 회복 중 Torque&lt;10%이면 CENSORED(검출하한 B_REC_FLOOR 미만).</t>
        </is>
      </c>
      <c r="M29" s="9" t="inlineStr">
        <is>
          <t>기준·회복 구간 Torque 10–95%.</t>
        </is>
      </c>
      <c r="N29" s="9" t="inlineStr">
        <is>
          <t>SD: GOOD ≤3, REVIEW ≤6</t>
        </is>
      </c>
    </row>
    <row r="30" ht="46.5" customHeight="1">
      <c r="B30" s="9" t="inlineStr">
        <is>
          <t>T2 구조 이력·회복</t>
        </is>
      </c>
      <c r="C30" s="9" t="inlineStr">
        <is>
          <t>B_R300</t>
        </is>
      </c>
      <c r="D30" s="9" t="inlineStr">
        <is>
          <t>PROCESS_SENSITIVE / 합격성 O</t>
        </is>
      </c>
      <c r="E30" s="9" t="inlineStr">
        <is>
          <t>300초 구조 회복률 R300</t>
        </is>
      </c>
      <c r="F30" s="9" t="inlineStr">
        <is>
          <t>%</t>
        </is>
      </c>
      <c r="G30" s="9" t="inlineStr">
        <is>
          <t>Interval 3 시작 후 295–305초 η 평균 / η_base × 100.</t>
        </is>
      </c>
      <c r="H30" s="9" t="inlineStr">
        <is>
          <t>5분 시간척도에서의 구조 재형성 정도(느린 재구축 성분 포함).</t>
        </is>
      </c>
      <c r="I30" s="9" t="inlineStr">
        <is>
          <t>원심 후 검체 대기·운반 동안의 장벽 안정성.</t>
        </is>
      </c>
      <c r="J30" s="9" t="inlineStr">
        <is>
          <t>중기 재구축이 큼.</t>
        </is>
      </c>
      <c r="K30" s="9" t="inlineStr">
        <is>
          <t>느린 재구축 또는 비가역적 구조 손실.</t>
        </is>
      </c>
      <c r="L30" s="9" t="inlineStr">
        <is>
          <t>회복 구간이 300초 미만이면 공란.</t>
        </is>
      </c>
      <c r="M30" s="9" t="inlineStr">
        <is>
          <t>기준·회복 구간 Torque 10–95%.</t>
        </is>
      </c>
      <c r="N30" s="9" t="inlineStr">
        <is>
          <t>SD: GOOD ≤3, REVIEW ≤6</t>
        </is>
      </c>
    </row>
    <row r="31" ht="108.5" customHeight="1">
      <c r="B31" s="9" t="inlineStr">
        <is>
          <t>T2 구조 이력·회복</t>
        </is>
      </c>
      <c r="C31" s="9" t="inlineStr">
        <is>
          <t>B_T90</t>
        </is>
      </c>
      <c r="D31" s="9" t="inlineStr">
        <is>
          <t>CENSORED_METRIC / 진단(제외)</t>
        </is>
      </c>
      <c r="E31" s="9" t="inlineStr">
        <is>
          <t>90% 회복 도달시간 t90</t>
        </is>
      </c>
      <c r="F31" s="9" t="inlineStr">
        <is>
          <t>s</t>
        </is>
      </c>
      <c r="G31" s="9" t="inlineStr">
        <is>
          <t>Interval 3에서 11점 이동중앙값 η가 η_base의 90%에 처음 도달한 시간. 미도달은 't90 &gt; 구간길이'(right-censored), 교차가 Torque&lt;10% 구간에서 일어나 첫 유효점에서 이미 90% 이상이면 't90 ≤ 첫 유효점'(상한값)으로 표시하고 공란 처리.</t>
        </is>
      </c>
      <c r="H31" s="9" t="inlineStr">
        <is>
          <t>구조 재형성의 시간척도.</t>
        </is>
      </c>
      <c r="I31" s="9" t="inlineStr">
        <is>
          <t>원심 정지 후 장벽이 기능 수준으로 굳는 데 걸리는 시간의 대리값.</t>
        </is>
      </c>
      <c r="J31" s="9" t="inlineStr">
        <is>
          <t>재형성이 느림.</t>
        </is>
      </c>
      <c r="K31" s="9" t="inlineStr">
        <is>
          <t>재형성이 빠름.</t>
        </is>
      </c>
      <c r="L31" s="9" t="inlineStr">
        <is>
          <t>미도달 반복이 있으면 평균은 도달 반복만의 값이므로 편향됨(사유 열의 미도달 수 확인).</t>
        </is>
      </c>
      <c r="M31" s="9" t="inlineStr">
        <is>
          <t>기준·회복 구간 Torque 10–95%.</t>
        </is>
      </c>
      <c r="N31" s="9" t="inlineStr">
        <is>
          <t>RSD: GOOD ≤20, REVIEW ≤35</t>
        </is>
      </c>
    </row>
    <row r="32" ht="62" customHeight="1">
      <c r="B32" s="9" t="inlineStr">
        <is>
          <t>T3 모델·진단</t>
        </is>
      </c>
      <c r="C32" s="9" t="inlineStr">
        <is>
          <t>A_HB_TAUY_UP</t>
        </is>
      </c>
      <c r="D32" s="9" t="inlineStr">
        <is>
          <t>CORE / 합격성 O</t>
        </is>
      </c>
      <c r="E32" s="9" t="inlineStr">
        <is>
          <t>동적 항복응력 — 상승 Full H-B</t>
        </is>
      </c>
      <c r="F32" s="9" t="inlineStr">
        <is>
          <t>Pa</t>
        </is>
      </c>
      <c r="G32" s="9" t="inlineStr">
        <is>
          <t>τ = τy + K·γ̇ⁿ. 분석 가능한 모든 Up Step 대표값(Up Full). legacy reference RPM이나 공통 전단률로 제한하지 않음.</t>
        </is>
      </c>
      <c r="H32" s="9" t="inlineStr">
        <is>
          <t>상승 유동곡선 전체를 γ̇→0으로 외삽한 모델상 흐름 개시 응력.</t>
        </is>
      </c>
      <c r="I32" s="9" t="inlineStr">
        <is>
          <t>초기 구조강도의 모델 기반 요약값(개발·변경관리용).</t>
        </is>
      </c>
      <c r="J32" s="9" t="inlineStr">
        <is>
          <t>외삽상 흐름 개시 응력 증가.</t>
        </is>
      </c>
      <c r="K32" s="9" t="inlineStr">
        <is>
          <t>외삽상 흐름 개시 응력 감소.</t>
        </is>
      </c>
      <c r="L32" s="9" t="inlineStr">
        <is>
          <t>외삽 추정값이며 정적 항복응력이 아님. 0.5/2 rpm과 4 rpm reference는 H-B 입력을 제한하지 않는다. Common H-B는 A_HB_*_COMMON.</t>
        </is>
      </c>
      <c r="M32" s="9" t="inlineStr">
        <is>
          <t>유효점 4개 최소(REVIEW), 5개 이상 권장.</t>
        </is>
      </c>
      <c r="N32" s="9" t="inlineStr">
        <is>
          <t>RSD: GOOD ≤10, REVIEW ≤20</t>
        </is>
      </c>
    </row>
    <row r="33" ht="46.5" customHeight="1">
      <c r="B33" s="9" t="inlineStr">
        <is>
          <t>T3 모델·진단</t>
        </is>
      </c>
      <c r="C33" s="9" t="inlineStr">
        <is>
          <t>A_HB_K_UP</t>
        </is>
      </c>
      <c r="D33" s="9" t="inlineStr">
        <is>
          <t>CORE / 합격성 O</t>
        </is>
      </c>
      <c r="E33" s="9" t="inlineStr">
        <is>
          <t>Consistency K↑ (H-B, Up Full)</t>
        </is>
      </c>
      <c r="F33" s="9" t="inlineStr">
        <is>
          <t>Pa·sⁿ</t>
        </is>
      </c>
      <c r="G33" s="9" t="inlineStr">
        <is>
          <t>Up Full H-B 피팅의 K.</t>
        </is>
      </c>
      <c r="H33" s="9" t="inlineStr">
        <is>
          <t>항복 후 유동 저항의 크기. n과 결합되어 의미를 가짐.</t>
        </is>
      </c>
      <c r="I33" s="9" t="inlineStr">
        <is>
          <t>원심 중 유동 저항의 모델 요약값.</t>
        </is>
      </c>
      <c r="J33" s="9" t="inlineStr">
        <is>
          <t>같은 n에서 유동 저항 증가.</t>
        </is>
      </c>
      <c r="K33" s="9" t="inlineStr">
        <is>
          <t>같은 n에서 유동 저항 감소.</t>
        </is>
      </c>
      <c r="L33" s="9" t="inlineStr">
        <is>
          <t>n이 달라지면 K 단위 자체가 달라지므로 n이 다른 Lot 간 직접 비교 금지.</t>
        </is>
      </c>
      <c r="M33" s="9" t="inlineStr">
        <is>
          <t>유효점 4개 최소(REVIEW), 5개 이상 권장.</t>
        </is>
      </c>
      <c r="N33" s="9" t="inlineStr">
        <is>
          <t>RSD: GOOD ≤10, REVIEW ≤20</t>
        </is>
      </c>
    </row>
    <row r="34" ht="46.5" customHeight="1">
      <c r="B34" s="9" t="inlineStr">
        <is>
          <t>T3 모델·진단</t>
        </is>
      </c>
      <c r="C34" s="9" t="inlineStr">
        <is>
          <t>A_HB_N_UP</t>
        </is>
      </c>
      <c r="D34" s="9" t="inlineStr">
        <is>
          <t>CORE / 합격성 O</t>
        </is>
      </c>
      <c r="E34" s="9" t="inlineStr">
        <is>
          <t>Flow index n↑ (H-B, Up Full)</t>
        </is>
      </c>
      <c r="F34" s="9" t="inlineStr">
        <is>
          <t>-</t>
        </is>
      </c>
      <c r="G34" s="9" t="inlineStr">
        <is>
          <t>Up Full H-B 피팅의 n.</t>
        </is>
      </c>
      <c r="H34" s="9" t="inlineStr">
        <is>
          <t>전단률 의존 형상. n&lt;1 전단박화, n=1 Bingham형.</t>
        </is>
      </c>
      <c r="I34" s="9" t="inlineStr">
        <is>
          <t>전단 증가에 따른 유동화 형상.</t>
        </is>
      </c>
      <c r="J34" s="9" t="inlineStr">
        <is>
          <t>1에 가까워짐(전단박화 약화).</t>
        </is>
      </c>
      <c r="K34" s="9" t="inlineStr">
        <is>
          <t>전단박화 강화.</t>
        </is>
      </c>
      <c r="L34" s="9" t="inlineStr">
        <is>
          <t>K와 상호 보상되는 파라미터. SSI(T1)가 모델 없는 대응 지표.</t>
        </is>
      </c>
      <c r="M34" s="9" t="inlineStr">
        <is>
          <t>유효점 4개 최소(REVIEW), 5개 이상 권장.</t>
        </is>
      </c>
      <c r="N34" s="9" t="inlineStr">
        <is>
          <t>RSD: GOOD ≤10, REVIEW ≤20</t>
        </is>
      </c>
    </row>
    <row r="35" ht="46.5" customHeight="1">
      <c r="B35" s="9" t="inlineStr">
        <is>
          <t>T3 모델·진단</t>
        </is>
      </c>
      <c r="C35" s="9" t="inlineStr">
        <is>
          <t>A_HB_R2_UP</t>
        </is>
      </c>
      <c r="D35" s="9" t="inlineStr">
        <is>
          <t>DIAGNOSTIC / 진단(제외)</t>
        </is>
      </c>
      <c r="E35" s="9" t="inlineStr">
        <is>
          <t>H-B 적합도 R²↑ Full</t>
        </is>
      </c>
      <c r="F35" s="9" t="inlineStr">
        <is>
          <t>-</t>
        </is>
      </c>
      <c r="G35" s="9" t="inlineStr">
        <is>
          <t>1 − SSE/SST (Up Full).</t>
        </is>
      </c>
      <c r="H35" s="9" t="inlineStr">
        <is>
          <t>측정점과 H-B 모델의 일치도. 품질 우수성 지표가 아니라 계산 신뢰성 확인값(진단).</t>
        </is>
      </c>
      <c r="I35" s="9" t="inlineStr">
        <is>
          <t>—</t>
        </is>
      </c>
      <c r="J35" s="9" t="inlineStr">
        <is>
          <t>모델 적합 양호.</t>
        </is>
      </c>
      <c r="K35" s="9" t="inlineStr">
        <is>
          <t>기포·불균일·시간의존성·모델 부적합 조사.</t>
        </is>
      </c>
      <c r="L35" s="9" t="inlineStr">
        <is>
          <t>R² 단독으로 Lot 합격/불합격 또는 반복 제외 금지. 상태는 항상 NOTICE.</t>
        </is>
      </c>
      <c r="M35" s="9" t="inlineStr">
        <is>
          <t>—</t>
        </is>
      </c>
      <c r="N35" s="9" t="inlineStr">
        <is>
          <t>—</t>
        </is>
      </c>
    </row>
    <row r="36" ht="31" customHeight="1">
      <c r="B36" s="9" t="inlineStr">
        <is>
          <t>T3 모델·진단</t>
        </is>
      </c>
      <c r="C36" s="9" t="inlineStr">
        <is>
          <t>A_HB_R2_DN</t>
        </is>
      </c>
      <c r="D36" s="9" t="inlineStr">
        <is>
          <t>DIAGNOSTIC / 진단(제외)</t>
        </is>
      </c>
      <c r="E36" s="9" t="inlineStr">
        <is>
          <t>H-B 적합도 R²↓ Full</t>
        </is>
      </c>
      <c r="F36" s="9" t="inlineStr">
        <is>
          <t>-</t>
        </is>
      </c>
      <c r="G36" s="9" t="inlineStr">
        <is>
          <t>1 − SSE/SST (Down Full).</t>
        </is>
      </c>
      <c r="H36" s="9" t="inlineStr">
        <is>
          <t>하강 경로 측정점과 H-B 모델의 일치도. 계산 신뢰성 확인값(진단).</t>
        </is>
      </c>
      <c r="I36" s="9" t="inlineStr">
        <is>
          <t>—</t>
        </is>
      </c>
      <c r="J36" s="9" t="inlineStr">
        <is>
          <t>모델 적합 양호.</t>
        </is>
      </c>
      <c r="K36" s="9" t="inlineStr">
        <is>
          <t>기포·불균일·시간의존성·모델 부적합 조사.</t>
        </is>
      </c>
      <c r="L36" s="9" t="inlineStr">
        <is>
          <t>R² 단독으로 Lot 합격/불합격 또는 반복 제외 금지. 상태는 항상 NOTICE.</t>
        </is>
      </c>
      <c r="M36" s="9" t="inlineStr">
        <is>
          <t>—</t>
        </is>
      </c>
      <c r="N36" s="9" t="inlineStr">
        <is>
          <t>—</t>
        </is>
      </c>
    </row>
    <row r="37" ht="46.5" customHeight="1">
      <c r="B37" s="9" t="inlineStr">
        <is>
          <t>T3 모델·진단</t>
        </is>
      </c>
      <c r="C37" s="9" t="inlineStr">
        <is>
          <t>A_HB_TAUY_DN</t>
        </is>
      </c>
      <c r="D37" s="9" t="inlineStr">
        <is>
          <t>CORE / 합격성 O</t>
        </is>
      </c>
      <c r="E37" s="9" t="inlineStr">
        <is>
          <t>동적 항복응력 — 하강 Full H-B</t>
        </is>
      </c>
      <c r="F37" s="9" t="inlineStr">
        <is>
          <t>Pa</t>
        </is>
      </c>
      <c r="G37" s="9" t="inlineStr">
        <is>
          <t>분석 가능한 모든 Down Step 대표값(Down Full) H-B 피팅의 τy.</t>
        </is>
      </c>
      <c r="H37" s="9" t="inlineStr">
        <is>
          <t>고전단 이력 후 하강 곡선 전체의 외삽 흐름 개시 응력.</t>
        </is>
      </c>
      <c r="I37" s="9" t="inlineStr">
        <is>
          <t>전단 이력 후 구조의 모델 요약값.</t>
        </is>
      </c>
      <c r="J37" s="9" t="inlineStr">
        <is>
          <t>하강 중 재구축이 큼.</t>
        </is>
      </c>
      <c r="K37" s="9" t="inlineStr">
        <is>
          <t>고전단 후 구조 약화가 큼.</t>
        </is>
      </c>
      <c r="L37" s="9" t="inlineStr">
        <is>
          <t>완전 휴지 회복값이 아님. Common fit으로 대체하지 않는다.</t>
        </is>
      </c>
      <c r="M37" s="9" t="inlineStr">
        <is>
          <t>유효점 4개 최소(REVIEW), 5개 이상 권장.</t>
        </is>
      </c>
      <c r="N37" s="9" t="inlineStr">
        <is>
          <t>RSD: GOOD ≤10, REVIEW ≤20</t>
        </is>
      </c>
    </row>
    <row r="38" ht="46.5" customHeight="1">
      <c r="B38" s="9" t="inlineStr">
        <is>
          <t>T3 모델·진단</t>
        </is>
      </c>
      <c r="C38" s="9" t="inlineStr">
        <is>
          <t>A_HB_K_DN</t>
        </is>
      </c>
      <c r="D38" s="9" t="inlineStr">
        <is>
          <t>CORE / 합격성 O</t>
        </is>
      </c>
      <c r="E38" s="9" t="inlineStr">
        <is>
          <t>Consistency K↓ (H-B, Down Full)</t>
        </is>
      </c>
      <c r="F38" s="9" t="inlineStr">
        <is>
          <t>Pa·sⁿ</t>
        </is>
      </c>
      <c r="G38" s="9" t="inlineStr">
        <is>
          <t>Down Full H-B 피팅의 K.</t>
        </is>
      </c>
      <c r="H38" s="9" t="inlineStr">
        <is>
          <t>고전단 이력 후 하강 상태의 유동 저항 크기.</t>
        </is>
      </c>
      <c r="I38" s="9" t="inlineStr">
        <is>
          <t>—</t>
        </is>
      </c>
      <c r="J38" s="9" t="inlineStr">
        <is>
          <t>하강 중 유동 저항 큼.</t>
        </is>
      </c>
      <c r="K38" s="9" t="inlineStr">
        <is>
          <t>하강 중 유동 저항 작음.</t>
        </is>
      </c>
      <c r="L38" s="9" t="inlineStr">
        <is>
          <t>n↓과 함께 해석.</t>
        </is>
      </c>
      <c r="M38" s="9" t="inlineStr">
        <is>
          <t>유효점 4개 최소(REVIEW).</t>
        </is>
      </c>
      <c r="N38" s="9" t="inlineStr">
        <is>
          <t>RSD: GOOD ≤10, REVIEW ≤20</t>
        </is>
      </c>
    </row>
    <row r="39" ht="46.5" customHeight="1">
      <c r="B39" s="9" t="inlineStr">
        <is>
          <t>T3 모델·진단</t>
        </is>
      </c>
      <c r="C39" s="9" t="inlineStr">
        <is>
          <t>A_HB_N_DN</t>
        </is>
      </c>
      <c r="D39" s="9" t="inlineStr">
        <is>
          <t>CORE / 합격성 O</t>
        </is>
      </c>
      <c r="E39" s="9" t="inlineStr">
        <is>
          <t>Flow index n↓ (H-B, Down Full)</t>
        </is>
      </c>
      <c r="F39" s="9" t="inlineStr">
        <is>
          <t>-</t>
        </is>
      </c>
      <c r="G39" s="9" t="inlineStr">
        <is>
          <t>Down Full H-B 피팅의 n.</t>
        </is>
      </c>
      <c r="H39" s="9" t="inlineStr">
        <is>
          <t>하강 프로파일 형상.</t>
        </is>
      </c>
      <c r="I39" s="9" t="inlineStr">
        <is>
          <t>—</t>
        </is>
      </c>
      <c r="J39" s="9" t="inlineStr">
        <is>
          <t>상승 대비 전단률 의존성 약화.</t>
        </is>
      </c>
      <c r="K39" s="9" t="inlineStr">
        <is>
          <t>상승 대비 전단박화 강화.</t>
        </is>
      </c>
      <c r="L39" s="9" t="inlineStr">
        <is>
          <t>단독 좋음/나쁨 판정 금지.</t>
        </is>
      </c>
      <c r="M39" s="9" t="inlineStr">
        <is>
          <t>유효점 4개 최소(REVIEW).</t>
        </is>
      </c>
      <c r="N39" s="9" t="inlineStr">
        <is>
          <t>RSD: GOOD ≤10, REVIEW ≤20</t>
        </is>
      </c>
    </row>
    <row r="40" ht="46.5" customHeight="1">
      <c r="B40" s="9" t="inlineStr">
        <is>
          <t>T3 모델·진단</t>
        </is>
      </c>
      <c r="C40" s="9" t="inlineStr">
        <is>
          <t>A_HB_TAUY_RATIO</t>
        </is>
      </c>
      <c r="D40" s="9" t="inlineStr">
        <is>
          <t>PROCESS_SENSITIVE / 합격성 O</t>
        </is>
      </c>
      <c r="E40" s="9" t="inlineStr">
        <is>
          <t>H-B 항복응력 유지율 — Down/Up Full</t>
        </is>
      </c>
      <c r="F40" s="9" t="inlineStr">
        <is>
          <t>%</t>
        </is>
      </c>
      <c r="G40" s="9" t="inlineStr">
        <is>
          <t>Down Full τy / Up Full τy × 100. Up τy가 0이면 NO VALUE.</t>
        </is>
      </c>
      <c r="H40" s="9" t="inlineStr">
        <is>
          <t>전단 이력 후 외삽 항복 구조의 유지 비율. Full fit끼리의 비.</t>
        </is>
      </c>
      <c r="I40" s="9" t="inlineStr">
        <is>
          <t>A_DU_L의 모델 기반 대응값.</t>
        </is>
      </c>
      <c r="J40" s="9" t="inlineStr">
        <is>
          <t>상승 상태에 근접.</t>
        </is>
      </c>
      <c r="K40" s="9" t="inlineStr">
        <is>
          <t>전단 후 구조 손실 큼.</t>
        </is>
      </c>
      <c r="L40" s="9" t="inlineStr">
        <is>
          <t>두 Full fit의 γ̇ 범위가 다르면 REVIEW. Common 비율은 A_HB_TAUY_RATIO_COMMON.</t>
        </is>
      </c>
      <c r="M40" s="9" t="inlineStr">
        <is>
          <t>두 Full 피팅 모두 계산된 경우.</t>
        </is>
      </c>
      <c r="N40" s="9" t="inlineStr">
        <is>
          <t>SD: GOOD ≤5, REVIEW ≤10</t>
        </is>
      </c>
    </row>
    <row r="41" ht="46.5" customHeight="1">
      <c r="B41" s="9" t="inlineStr">
        <is>
          <t>T3 모델·진단</t>
        </is>
      </c>
      <c r="C41" s="9" t="inlineStr">
        <is>
          <t>A_HDI</t>
        </is>
      </c>
      <c r="D41" s="9" t="inlineStr">
        <is>
          <t>PROCESS_SENSITIVE / 합격성 O</t>
        </is>
      </c>
      <c r="E41" s="9" t="inlineStr">
        <is>
          <t>등가중 이력 차이 지수 HDI</t>
        </is>
      </c>
      <c r="F41" s="9" t="inlineStr">
        <is>
          <t>%</t>
        </is>
      </c>
      <c r="G41" s="9" t="inlineStr">
        <is>
          <t>Σ|τ_up − τ_down| / Στ_up × 100 (공통 전단률, 점별 등가중).</t>
        </is>
      </c>
      <c r="H41" s="9" t="inlineStr">
        <is>
          <t>γ̇ 간격 가중이 없는 상승·하강 차이의 평균적 크기. 저전단 쪽 차이도 동등하게 반영.</t>
        </is>
      </c>
      <c r="I41" s="9" t="inlineStr">
        <is>
          <t>A_HYS_REL의 가중 편향을 점검하는 보조 지표.</t>
        </is>
      </c>
      <c r="J41" s="9" t="inlineStr">
        <is>
          <t>전단 이력 차이가 큼.</t>
        </is>
      </c>
      <c r="K41" s="9" t="inlineStr">
        <is>
          <t>차이가 작음.</t>
        </is>
      </c>
      <c r="L41" s="9" t="inlineStr">
        <is>
          <t>Step 구성 고정 시에만 비교.</t>
        </is>
      </c>
      <c r="M41" s="9" t="inlineStr">
        <is>
          <t>공통 전단률 4쌍 이상.</t>
        </is>
      </c>
      <c r="N41" s="9" t="inlineStr">
        <is>
          <t>SD: GOOD ≤1, REVIEW ≤2</t>
        </is>
      </c>
    </row>
    <row r="42" ht="108.5" customHeight="1">
      <c r="B42" s="9" t="inlineStr">
        <is>
          <t>T3 모델·진단</t>
        </is>
      </c>
      <c r="C42" s="9" t="inlineStr">
        <is>
          <t>A_OVS_L</t>
        </is>
      </c>
      <c r="D42" s="9" t="inlineStr">
        <is>
          <t>DIAGNOSTIC / 진단(제외)</t>
        </is>
      </c>
      <c r="E42" s="9" t="inlineStr">
        <is>
          <t>휴지 후 Start-up 응력 초과율(0.5 rpm)</t>
        </is>
      </c>
      <c r="F42" s="9" t="inlineStr">
        <is>
          <t>%</t>
        </is>
      </c>
      <c r="G42" s="9" t="inlineStr">
        <is>
          <t>휴지 직후 첫 회전 Step에서 (τ_peak / τ_대표 − 1) × 100. 기준 RPM 0.5 rpm 여부와 무관.</t>
        </is>
      </c>
      <c r="H42" s="9" t="inlineStr">
        <is>
          <t>휴지 중 형성된 구조가 흐름 개시 순간 깨지며 생기는 응력 초과. 첫 회전 Step이 기준 RPM보다 낮아도 실제 start-up 전이 응답을 사용.</t>
        </is>
      </c>
      <c r="I42" s="9" t="inlineStr">
        <is>
          <t>보관 중 형성되는 휴지 구조의 크기(정적 항복응력의 정성적 대리).</t>
        </is>
      </c>
      <c r="J42" s="9" t="inlineStr">
        <is>
          <t>휴지 구조 형성이 큼.</t>
        </is>
      </c>
      <c r="K42" s="9" t="inlineStr">
        <is>
          <t>휴지 구조 형성이 작음.</t>
        </is>
      </c>
      <c r="L42" s="9" t="inlineStr">
        <is>
          <t>rest 직후 첫 회전 Step의 실제 RPM을 사용한다. 0.5 rpm이 아니어도 계산하며 결과 사유에 실제 RPM을 기록한다. 저토크 분해능과 장비 가속 응답 포함. Vane 정적 항복응력을 대체하지 않음. 0 기준 차이형 지표라 RSD 산정 안 함.</t>
        </is>
      </c>
      <c r="M42" s="9" t="inlineStr">
        <is>
          <t>rest 직후 첫 회전 Step, Torque 유효. 미산출은 NOTICE(No quantifiable start-up overshoot)로 표시하며 Run·Lot 분석은 유지. Lot 합격성·정밀도 판정 대상 아님.</t>
        </is>
      </c>
      <c r="N42" s="9" t="inlineStr">
        <is>
          <t>— | RSD 미적용(0 기준), 부호 전환 시 [SIGN] REVIEW</t>
        </is>
      </c>
    </row>
    <row r="43" ht="46.5" customHeight="1">
      <c r="B43" s="9" t="inlineStr">
        <is>
          <t>T3 모델·진단</t>
        </is>
      </c>
      <c r="C43" s="9" t="inlineStr">
        <is>
          <t>A_HB_GRANGE</t>
        </is>
      </c>
      <c r="D43" s="9" t="inlineStr">
        <is>
          <t>DIAGNOSTIC / 진단(제외)</t>
        </is>
      </c>
      <c r="E43" s="9" t="inlineStr">
        <is>
          <t>H-B 피팅 전단률 범위 비 γ̇max/γ̇min</t>
        </is>
      </c>
      <c r="F43" s="9" t="inlineStr">
        <is>
          <t>-</t>
        </is>
      </c>
      <c r="G43" s="9" t="inlineStr">
        <is>
          <t>Up Full 피팅의 γ̇max / γ̇min. legacy reference RPM은 이 범위를 제한하지 않는다.</t>
        </is>
      </c>
      <c r="H43" s="9" t="inlineStr">
        <is>
          <t>외삽 거리의 역지표. 작을수록 τy·K·n 추정 불확실성이 큼.</t>
        </is>
      </c>
      <c r="I43" s="9" t="inlineStr">
        <is>
          <t>—</t>
        </is>
      </c>
      <c r="J43" s="9" t="inlineStr">
        <is>
          <t>모델 파라미터 신뢰도 증가.</t>
        </is>
      </c>
      <c r="K43" s="9" t="inlineStr">
        <is>
          <t>10 미만(1 decade 미만)이면 T3 모델값을 경향 참고로만 사용.</t>
        </is>
      </c>
      <c r="L43" s="9" t="inlineStr">
        <is>
          <t>데이터 유효성 지표(진단). 10 미만은 NOTICE이며 Lot 유효성에 전파하지 않음.</t>
        </is>
      </c>
      <c r="M43" s="9" t="inlineStr">
        <is>
          <t>—</t>
        </is>
      </c>
      <c r="N43" s="9" t="inlineStr">
        <is>
          <t>—</t>
        </is>
      </c>
    </row>
    <row r="44" ht="31" customHeight="1">
      <c r="B44" s="9" t="inlineStr">
        <is>
          <t>T3 모델·진단</t>
        </is>
      </c>
      <c r="C44" s="9" t="inlineStr">
        <is>
          <t>A_HB_K_RATIO</t>
        </is>
      </c>
      <c r="D44" s="9" t="inlineStr">
        <is>
          <t>DIAGNOSTIC / 진단(제외)</t>
        </is>
      </c>
      <c r="E44" s="9" t="inlineStr">
        <is>
          <t>K 유지비 Down/Up Full</t>
        </is>
      </c>
      <c r="F44" s="9" t="inlineStr">
        <is>
          <t>%</t>
        </is>
      </c>
      <c r="G44" s="9" t="inlineStr">
        <is>
          <t>Down Full K / Up Full K × 100.</t>
        </is>
      </c>
      <c r="H44" s="9" t="inlineStr">
        <is>
          <t>Full fit consistency의 유지 비율.</t>
        </is>
      </c>
      <c r="I44" s="9" t="inlineStr">
        <is>
          <t>—</t>
        </is>
      </c>
      <c r="J44" s="9" t="inlineStr">
        <is>
          <t>—</t>
        </is>
      </c>
      <c r="K44" s="9" t="inlineStr">
        <is>
          <t>—</t>
        </is>
      </c>
      <c r="L44" s="9" t="inlineStr">
        <is>
          <t>n이 다르면 K 단위가 달라 해석에 주의. 진단값.</t>
        </is>
      </c>
      <c r="M44" s="9" t="inlineStr">
        <is>
          <t>두 Full 피팅.</t>
        </is>
      </c>
      <c r="N44" s="9" t="inlineStr">
        <is>
          <t>—</t>
        </is>
      </c>
    </row>
    <row r="45" ht="31" customHeight="1">
      <c r="B45" s="9" t="inlineStr">
        <is>
          <t>T3 모델·진단</t>
        </is>
      </c>
      <c r="C45" s="9" t="inlineStr">
        <is>
          <t>A_HB_N_DIFF</t>
        </is>
      </c>
      <c r="D45" s="9" t="inlineStr">
        <is>
          <t>DIAGNOSTIC / 진단(제외)</t>
        </is>
      </c>
      <c r="E45" s="9" t="inlineStr">
        <is>
          <t>n 차이 Down−Up Full</t>
        </is>
      </c>
      <c r="F45" s="9" t="inlineStr">
        <is>
          <t>-</t>
        </is>
      </c>
      <c r="G45" s="9" t="inlineStr">
        <is>
          <t>Down Full n − Up Full n.</t>
        </is>
      </c>
      <c r="H45" s="9" t="inlineStr">
        <is>
          <t>Full fit flow index 차이.</t>
        </is>
      </c>
      <c r="I45" s="9" t="inlineStr">
        <is>
          <t>—</t>
        </is>
      </c>
      <c r="J45" s="9" t="inlineStr">
        <is>
          <t>—</t>
        </is>
      </c>
      <c r="K45" s="9" t="inlineStr">
        <is>
          <t>—</t>
        </is>
      </c>
      <c r="L45" s="9" t="inlineStr">
        <is>
          <t>진단값.</t>
        </is>
      </c>
      <c r="M45" s="9" t="inlineStr">
        <is>
          <t>두 Full 피팅.</t>
        </is>
      </c>
      <c r="N45" s="9" t="inlineStr">
        <is>
          <t>—</t>
        </is>
      </c>
    </row>
    <row r="46" ht="31" customHeight="1">
      <c r="B46" s="9" t="inlineStr">
        <is>
          <t>T3 모델·진단</t>
        </is>
      </c>
      <c r="C46" s="9" t="inlineStr">
        <is>
          <t>A_HB_TAUY_UP_COMMON</t>
        </is>
      </c>
      <c r="D46" s="9" t="inlineStr">
        <is>
          <t>DIAGNOSTIC / 진단(제외)</t>
        </is>
      </c>
      <c r="E46" s="9" t="inlineStr">
        <is>
          <t>τy↑ Common H-B 진단</t>
        </is>
      </c>
      <c r="F46" s="9" t="inlineStr">
        <is>
          <t>Pa</t>
        </is>
      </c>
      <c r="G46" s="9" t="inlineStr">
        <is>
          <t>Up·Down 공통 전단률만으로 피팅한 τy.</t>
        </is>
      </c>
      <c r="H46" s="9" t="inlineStr">
        <is>
          <t>직접 비교가 가능한 구간의 외삽 항복응력.</t>
        </is>
      </c>
      <c r="I46" s="9" t="inlineStr">
        <is>
          <t>—</t>
        </is>
      </c>
      <c r="J46" s="9" t="inlineStr">
        <is>
          <t>—</t>
        </is>
      </c>
      <c r="K46" s="9" t="inlineStr">
        <is>
          <t>—</t>
        </is>
      </c>
      <c r="L46" s="9" t="inlineStr">
        <is>
          <t>대표 H-B가 아니다. unpaired RPM은 제외.</t>
        </is>
      </c>
      <c r="M46" s="9" t="inlineStr">
        <is>
          <t>공통점 4개 이상.</t>
        </is>
      </c>
      <c r="N46" s="9" t="inlineStr">
        <is>
          <t>—</t>
        </is>
      </c>
    </row>
    <row r="47" ht="31" customHeight="1">
      <c r="B47" s="9" t="inlineStr">
        <is>
          <t>T3 모델·진단</t>
        </is>
      </c>
      <c r="C47" s="9" t="inlineStr">
        <is>
          <t>A_HB_K_UP_COMMON</t>
        </is>
      </c>
      <c r="D47" s="9" t="inlineStr">
        <is>
          <t>DIAGNOSTIC / 진단(제외)</t>
        </is>
      </c>
      <c r="E47" s="9" t="inlineStr">
        <is>
          <t>K↑ Common H-B 진단</t>
        </is>
      </c>
      <c r="F47" s="9" t="inlineStr">
        <is>
          <t>Pa·sⁿ</t>
        </is>
      </c>
      <c r="G47" s="9" t="inlineStr">
        <is>
          <t>Up Common H-B의 K.</t>
        </is>
      </c>
      <c r="H47" s="9" t="inlineStr">
        <is>
          <t>—</t>
        </is>
      </c>
      <c r="I47" s="9" t="inlineStr">
        <is>
          <t>—</t>
        </is>
      </c>
      <c r="J47" s="9" t="inlineStr">
        <is>
          <t>—</t>
        </is>
      </c>
      <c r="K47" s="9" t="inlineStr">
        <is>
          <t>—</t>
        </is>
      </c>
      <c r="L47" s="9" t="inlineStr">
        <is>
          <t>진단값.</t>
        </is>
      </c>
      <c r="M47" s="9" t="inlineStr">
        <is>
          <t>—</t>
        </is>
      </c>
      <c r="N47" s="9" t="inlineStr">
        <is>
          <t>—</t>
        </is>
      </c>
    </row>
    <row r="48" ht="31" customHeight="1">
      <c r="B48" s="9" t="inlineStr">
        <is>
          <t>T3 모델·진단</t>
        </is>
      </c>
      <c r="C48" s="9" t="inlineStr">
        <is>
          <t>A_HB_N_UP_COMMON</t>
        </is>
      </c>
      <c r="D48" s="9" t="inlineStr">
        <is>
          <t>DIAGNOSTIC / 진단(제외)</t>
        </is>
      </c>
      <c r="E48" s="9" t="inlineStr">
        <is>
          <t>n↑ Common H-B 진단</t>
        </is>
      </c>
      <c r="F48" s="9" t="inlineStr">
        <is>
          <t>-</t>
        </is>
      </c>
      <c r="G48" s="9" t="inlineStr">
        <is>
          <t>Up Common H-B의 n.</t>
        </is>
      </c>
      <c r="H48" s="9" t="inlineStr">
        <is>
          <t>—</t>
        </is>
      </c>
      <c r="I48" s="9" t="inlineStr">
        <is>
          <t>—</t>
        </is>
      </c>
      <c r="J48" s="9" t="inlineStr">
        <is>
          <t>—</t>
        </is>
      </c>
      <c r="K48" s="9" t="inlineStr">
        <is>
          <t>—</t>
        </is>
      </c>
      <c r="L48" s="9" t="inlineStr">
        <is>
          <t>진단값.</t>
        </is>
      </c>
      <c r="M48" s="9" t="inlineStr">
        <is>
          <t>—</t>
        </is>
      </c>
      <c r="N48" s="9" t="inlineStr">
        <is>
          <t>—</t>
        </is>
      </c>
    </row>
    <row r="49" ht="31" customHeight="1">
      <c r="B49" s="9" t="inlineStr">
        <is>
          <t>T3 모델·진단</t>
        </is>
      </c>
      <c r="C49" s="9" t="inlineStr">
        <is>
          <t>A_HB_R2_UP_COMMON</t>
        </is>
      </c>
      <c r="D49" s="9" t="inlineStr">
        <is>
          <t>DIAGNOSTIC / 진단(제외)</t>
        </is>
      </c>
      <c r="E49" s="9" t="inlineStr">
        <is>
          <t>R²↑ Common H-B 진단</t>
        </is>
      </c>
      <c r="F49" s="9" t="inlineStr">
        <is>
          <t>-</t>
        </is>
      </c>
      <c r="G49" s="9" t="inlineStr">
        <is>
          <t>Up Common H-B의 R².</t>
        </is>
      </c>
      <c r="H49" s="9" t="inlineStr">
        <is>
          <t>—</t>
        </is>
      </c>
      <c r="I49" s="9" t="inlineStr">
        <is>
          <t>—</t>
        </is>
      </c>
      <c r="J49" s="9" t="inlineStr">
        <is>
          <t>—</t>
        </is>
      </c>
      <c r="K49" s="9" t="inlineStr">
        <is>
          <t>—</t>
        </is>
      </c>
      <c r="L49" s="9" t="inlineStr">
        <is>
          <t>진단값. NOTICE.</t>
        </is>
      </c>
      <c r="M49" s="9" t="inlineStr">
        <is>
          <t>—</t>
        </is>
      </c>
      <c r="N49" s="9" t="inlineStr">
        <is>
          <t>—</t>
        </is>
      </c>
    </row>
    <row r="50" ht="31" customHeight="1">
      <c r="B50" s="9" t="inlineStr">
        <is>
          <t>T3 모델·진단</t>
        </is>
      </c>
      <c r="C50" s="9" t="inlineStr">
        <is>
          <t>A_HB_TAUY_DN_COMMON</t>
        </is>
      </c>
      <c r="D50" s="9" t="inlineStr">
        <is>
          <t>DIAGNOSTIC / 진단(제외)</t>
        </is>
      </c>
      <c r="E50" s="9" t="inlineStr">
        <is>
          <t>τy↓ Common H-B 진단</t>
        </is>
      </c>
      <c r="F50" s="9" t="inlineStr">
        <is>
          <t>Pa</t>
        </is>
      </c>
      <c r="G50" s="9" t="inlineStr">
        <is>
          <t>Down Common H-B의 τy.</t>
        </is>
      </c>
      <c r="H50" s="9" t="inlineStr">
        <is>
          <t>—</t>
        </is>
      </c>
      <c r="I50" s="9" t="inlineStr">
        <is>
          <t>—</t>
        </is>
      </c>
      <c r="J50" s="9" t="inlineStr">
        <is>
          <t>—</t>
        </is>
      </c>
      <c r="K50" s="9" t="inlineStr">
        <is>
          <t>—</t>
        </is>
      </c>
      <c r="L50" s="9" t="inlineStr">
        <is>
          <t>진단값.</t>
        </is>
      </c>
      <c r="M50" s="9" t="inlineStr">
        <is>
          <t>—</t>
        </is>
      </c>
      <c r="N50" s="9" t="inlineStr">
        <is>
          <t>—</t>
        </is>
      </c>
    </row>
    <row r="51" ht="31" customHeight="1">
      <c r="B51" s="9" t="inlineStr">
        <is>
          <t>T3 모델·진단</t>
        </is>
      </c>
      <c r="C51" s="9" t="inlineStr">
        <is>
          <t>A_HB_K_DN_COMMON</t>
        </is>
      </c>
      <c r="D51" s="9" t="inlineStr">
        <is>
          <t>DIAGNOSTIC / 진단(제외)</t>
        </is>
      </c>
      <c r="E51" s="9" t="inlineStr">
        <is>
          <t>K↓ Common H-B 진단</t>
        </is>
      </c>
      <c r="F51" s="9" t="inlineStr">
        <is>
          <t>Pa·sⁿ</t>
        </is>
      </c>
      <c r="G51" s="9" t="inlineStr">
        <is>
          <t>Down Common H-B의 K.</t>
        </is>
      </c>
      <c r="H51" s="9" t="inlineStr">
        <is>
          <t>—</t>
        </is>
      </c>
      <c r="I51" s="9" t="inlineStr">
        <is>
          <t>—</t>
        </is>
      </c>
      <c r="J51" s="9" t="inlineStr">
        <is>
          <t>—</t>
        </is>
      </c>
      <c r="K51" s="9" t="inlineStr">
        <is>
          <t>—</t>
        </is>
      </c>
      <c r="L51" s="9" t="inlineStr">
        <is>
          <t>진단값.</t>
        </is>
      </c>
      <c r="M51" s="9" t="inlineStr">
        <is>
          <t>—</t>
        </is>
      </c>
      <c r="N51" s="9" t="inlineStr">
        <is>
          <t>—</t>
        </is>
      </c>
    </row>
    <row r="52" ht="31" customHeight="1">
      <c r="B52" s="9" t="inlineStr">
        <is>
          <t>T3 모델·진단</t>
        </is>
      </c>
      <c r="C52" s="9" t="inlineStr">
        <is>
          <t>A_HB_N_DN_COMMON</t>
        </is>
      </c>
      <c r="D52" s="9" t="inlineStr">
        <is>
          <t>DIAGNOSTIC / 진단(제외)</t>
        </is>
      </c>
      <c r="E52" s="9" t="inlineStr">
        <is>
          <t>n↓ Common H-B 진단</t>
        </is>
      </c>
      <c r="F52" s="9" t="inlineStr">
        <is>
          <t>-</t>
        </is>
      </c>
      <c r="G52" s="9" t="inlineStr">
        <is>
          <t>Down Common H-B의 n.</t>
        </is>
      </c>
      <c r="H52" s="9" t="inlineStr">
        <is>
          <t>—</t>
        </is>
      </c>
      <c r="I52" s="9" t="inlineStr">
        <is>
          <t>—</t>
        </is>
      </c>
      <c r="J52" s="9" t="inlineStr">
        <is>
          <t>—</t>
        </is>
      </c>
      <c r="K52" s="9" t="inlineStr">
        <is>
          <t>—</t>
        </is>
      </c>
      <c r="L52" s="9" t="inlineStr">
        <is>
          <t>진단값.</t>
        </is>
      </c>
      <c r="M52" s="9" t="inlineStr">
        <is>
          <t>—</t>
        </is>
      </c>
      <c r="N52" s="9" t="inlineStr">
        <is>
          <t>—</t>
        </is>
      </c>
    </row>
    <row r="53" ht="31" customHeight="1">
      <c r="B53" s="9" t="inlineStr">
        <is>
          <t>T3 모델·진단</t>
        </is>
      </c>
      <c r="C53" s="9" t="inlineStr">
        <is>
          <t>A_HB_R2_DN_COMMON</t>
        </is>
      </c>
      <c r="D53" s="9" t="inlineStr">
        <is>
          <t>DIAGNOSTIC / 진단(제외)</t>
        </is>
      </c>
      <c r="E53" s="9" t="inlineStr">
        <is>
          <t>R²↓ Common H-B 진단</t>
        </is>
      </c>
      <c r="F53" s="9" t="inlineStr">
        <is>
          <t>-</t>
        </is>
      </c>
      <c r="G53" s="9" t="inlineStr">
        <is>
          <t>Down Common H-B의 R².</t>
        </is>
      </c>
      <c r="H53" s="9" t="inlineStr">
        <is>
          <t>—</t>
        </is>
      </c>
      <c r="I53" s="9" t="inlineStr">
        <is>
          <t>—</t>
        </is>
      </c>
      <c r="J53" s="9" t="inlineStr">
        <is>
          <t>—</t>
        </is>
      </c>
      <c r="K53" s="9" t="inlineStr">
        <is>
          <t>—</t>
        </is>
      </c>
      <c r="L53" s="9" t="inlineStr">
        <is>
          <t>진단값. NOTICE.</t>
        </is>
      </c>
      <c r="M53" s="9" t="inlineStr">
        <is>
          <t>—</t>
        </is>
      </c>
      <c r="N53" s="9" t="inlineStr">
        <is>
          <t>—</t>
        </is>
      </c>
    </row>
    <row r="54" ht="31" customHeight="1">
      <c r="B54" s="9" t="inlineStr">
        <is>
          <t>T3 모델·진단</t>
        </is>
      </c>
      <c r="C54" s="9" t="inlineStr">
        <is>
          <t>A_HB_TAUY_RATIO_COMMON</t>
        </is>
      </c>
      <c r="D54" s="9" t="inlineStr">
        <is>
          <t>DIAGNOSTIC / 진단(제외)</t>
        </is>
      </c>
      <c r="E54" s="9" t="inlineStr">
        <is>
          <t>τy 유지비 Common 진단</t>
        </is>
      </c>
      <c r="F54" s="9" t="inlineStr">
        <is>
          <t>%</t>
        </is>
      </c>
      <c r="G54" s="9" t="inlineStr">
        <is>
          <t>Down Common τy / Up Common τy × 100.</t>
        </is>
      </c>
      <c r="H54" s="9" t="inlineStr">
        <is>
          <t>공통 구간만의 항복응력 유지비.</t>
        </is>
      </c>
      <c r="I54" s="9" t="inlineStr">
        <is>
          <t>—</t>
        </is>
      </c>
      <c r="J54" s="9" t="inlineStr">
        <is>
          <t>—</t>
        </is>
      </c>
      <c r="K54" s="9" t="inlineStr">
        <is>
          <t>—</t>
        </is>
      </c>
      <c r="L54" s="9" t="inlineStr">
        <is>
          <t>Full 유지비와 섞지 않는다.</t>
        </is>
      </c>
      <c r="M54" s="9" t="inlineStr">
        <is>
          <t>두 Common 피팅.</t>
        </is>
      </c>
      <c r="N54" s="9" t="inlineStr">
        <is>
          <t>—</t>
        </is>
      </c>
    </row>
    <row r="55" ht="31" customHeight="1">
      <c r="B55" s="9" t="inlineStr">
        <is>
          <t>T3 모델·진단</t>
        </is>
      </c>
      <c r="C55" s="9" t="inlineStr">
        <is>
          <t>A_STARTUP_PLATEAU_UP</t>
        </is>
      </c>
      <c r="D55" s="9" t="inlineStr">
        <is>
          <t>DIAGNOSTIC / 진단(제외)</t>
        </is>
      </c>
      <c r="E55" s="9" t="inlineStr">
        <is>
          <t>상승 저전단 plateau 응력</t>
        </is>
      </c>
      <c r="F55" s="9" t="inlineStr">
        <is>
          <t>Pa</t>
        </is>
      </c>
      <c r="G55" s="9" t="inlineStr">
        <is>
          <t>초기 저전단 Step 후반 10초 평균 응력.</t>
        </is>
      </c>
      <c r="H55" s="9" t="inlineStr">
        <is>
          <t>start-up 이후 안정 응력. peak와 다르다.</t>
        </is>
      </c>
      <c r="I55" s="9" t="inlineStr">
        <is>
          <t>—</t>
        </is>
      </c>
      <c r="J55" s="9" t="inlineStr">
        <is>
          <t>—</t>
        </is>
      </c>
      <c r="K55" s="9" t="inlineStr">
        <is>
          <t>—</t>
        </is>
      </c>
      <c r="L55" s="9" t="inlineStr">
        <is>
          <t>보조 진단.</t>
        </is>
      </c>
      <c r="M55" s="9" t="inlineStr">
        <is>
          <t>—</t>
        </is>
      </c>
      <c r="N55" s="9" t="inlineStr">
        <is>
          <t>—</t>
        </is>
      </c>
    </row>
    <row r="56" ht="31" customHeight="1">
      <c r="B56" s="9" t="inlineStr">
        <is>
          <t>T3 모델·진단</t>
        </is>
      </c>
      <c r="C56" s="9" t="inlineStr">
        <is>
          <t>A_POST_SHEAR_PLATEAU</t>
        </is>
      </c>
      <c r="D56" s="9" t="inlineStr">
        <is>
          <t>DIAGNOSTIC / 진단(제외)</t>
        </is>
      </c>
      <c r="E56" s="9" t="inlineStr">
        <is>
          <t>하강 저전단 plateau 응력</t>
        </is>
      </c>
      <c r="F56" s="9" t="inlineStr">
        <is>
          <t>Pa</t>
        </is>
      </c>
      <c r="G56" s="9" t="inlineStr">
        <is>
          <t>post-shear 저전단 Step 후반 10초 평균 응력.</t>
        </is>
      </c>
      <c r="H56" s="9" t="inlineStr">
        <is>
          <t>이력 후 안정 응력.</t>
        </is>
      </c>
      <c r="I56" s="9" t="inlineStr">
        <is>
          <t>—</t>
        </is>
      </c>
      <c r="J56" s="9" t="inlineStr">
        <is>
          <t>—</t>
        </is>
      </c>
      <c r="K56" s="9" t="inlineStr">
        <is>
          <t>—</t>
        </is>
      </c>
      <c r="L56" s="9" t="inlineStr">
        <is>
          <t>보조 진단.</t>
        </is>
      </c>
      <c r="M56" s="9" t="inlineStr">
        <is>
          <t>—</t>
        </is>
      </c>
      <c r="N56" s="9" t="inlineStr">
        <is>
          <t>—</t>
        </is>
      </c>
    </row>
    <row r="57" ht="31" customHeight="1">
      <c r="B57" s="9" t="inlineStr">
        <is>
          <t>T3 모델·진단</t>
        </is>
      </c>
      <c r="C57" s="9" t="inlineStr">
        <is>
          <t>A_PLATEAU_RETENTION</t>
        </is>
      </c>
      <c r="D57" s="9" t="inlineStr">
        <is>
          <t>DIAGNOSTIC / 진단(제외)</t>
        </is>
      </c>
      <c r="E57" s="9" t="inlineStr">
        <is>
          <t>plateau 유지율</t>
        </is>
      </c>
      <c r="F57" s="9" t="inlineStr">
        <is>
          <t>%</t>
        </is>
      </c>
      <c r="G57" s="9" t="inlineStr">
        <is>
          <t>post plateau / initial plateau × 100.</t>
        </is>
      </c>
      <c r="H57" s="9" t="inlineStr">
        <is>
          <t>안정 응력의 유지. peak retention과 다르다.</t>
        </is>
      </c>
      <c r="I57" s="9" t="inlineStr">
        <is>
          <t>—</t>
        </is>
      </c>
      <c r="J57" s="9" t="inlineStr">
        <is>
          <t>—</t>
        </is>
      </c>
      <c r="K57" s="9" t="inlineStr">
        <is>
          <t>—</t>
        </is>
      </c>
      <c r="L57" s="9" t="inlineStr">
        <is>
          <t>보조 진단.</t>
        </is>
      </c>
      <c r="M57" s="9" t="inlineStr">
        <is>
          <t>—</t>
        </is>
      </c>
      <c r="N57" s="9" t="inlineStr">
        <is>
          <t>—</t>
        </is>
      </c>
    </row>
    <row r="58" ht="46.5" customHeight="1">
      <c r="B58" s="9" t="inlineStr">
        <is>
          <t>T3 모델·진단</t>
        </is>
      </c>
      <c r="C58" s="9" t="inlineStr">
        <is>
          <t>B_ETA_BRK</t>
        </is>
      </c>
      <c r="D58" s="9" t="inlineStr">
        <is>
          <t>CORE / 합격성 O</t>
        </is>
      </c>
      <c r="E58" s="9" t="inlineStr">
        <is>
          <t>3ITT 고전단 점도 η_brk</t>
        </is>
      </c>
      <c r="F58" s="9" t="inlineStr">
        <is>
          <t>cP</t>
        </is>
      </c>
      <c r="G58" s="9" t="inlineStr">
        <is>
          <t>Interval 2 후반 창 Torque 유효 평균 점도.</t>
        </is>
      </c>
      <c r="H58" s="9" t="inlineStr">
        <is>
          <t>구조가 해체된 고전단 상태의 유동 저항.</t>
        </is>
      </c>
      <c r="I58" s="9" t="inlineStr">
        <is>
          <t>원심 중 유동성 대리.</t>
        </is>
      </c>
      <c r="J58" s="9" t="inlineStr">
        <is>
          <t>고전단에서도 저항이 큼.</t>
        </is>
      </c>
      <c r="K58" s="9" t="inlineStr">
        <is>
          <t>고전단 저항이 작음.</t>
        </is>
      </c>
      <c r="L58" s="9" t="inlineStr">
        <is>
          <t>전단박화와 구조 붕괴가 합쳐진 값.</t>
        </is>
      </c>
      <c r="M58" s="9" t="inlineStr">
        <is>
          <t>고전단 구간 Torque 10–95%.</t>
        </is>
      </c>
      <c r="N58" s="9" t="inlineStr">
        <is>
          <t>RSD: GOOD ≤10, REVIEW ≤20</t>
        </is>
      </c>
    </row>
    <row r="59" ht="46.5" customHeight="1">
      <c r="B59" s="9" t="inlineStr">
        <is>
          <t>T3 모델·진단</t>
        </is>
      </c>
      <c r="C59" s="9" t="inlineStr">
        <is>
          <t>B_R10</t>
        </is>
      </c>
      <c r="D59" s="9" t="inlineStr">
        <is>
          <t>CORE / 합격성 O</t>
        </is>
      </c>
      <c r="E59" s="9" t="inlineStr">
        <is>
          <t>10초 즉시 회복률 R10</t>
        </is>
      </c>
      <c r="F59" s="9" t="inlineStr">
        <is>
          <t>%</t>
        </is>
      </c>
      <c r="G59" s="9" t="inlineStr">
        <is>
          <t>Interval 3 시작 후 5–15초 η 평균 / η_base × 100.</t>
        </is>
      </c>
      <c r="H59" s="9" t="inlineStr">
        <is>
          <t>고전단 해제 직후 즉시 회복(탄성·빠른 접점 재형성).</t>
        </is>
      </c>
      <c r="I59" s="9" t="inlineStr">
        <is>
          <t>원심 정지 순간의 장벽 즉시 안정성.</t>
        </is>
      </c>
      <c r="J59" s="9" t="inlineStr">
        <is>
          <t>즉시 재구축이 빠름.</t>
        </is>
      </c>
      <c r="K59" s="9" t="inlineStr">
        <is>
          <t>초기 재구축이 느림.</t>
        </is>
      </c>
      <c r="L59" s="9" t="inlineStr">
        <is>
          <t>속도 전환 지연·장비 응답의 영향이 가장 큼.</t>
        </is>
      </c>
      <c r="M59" s="9" t="inlineStr">
        <is>
          <t>Torque 10–95%.</t>
        </is>
      </c>
      <c r="N59" s="9" t="inlineStr">
        <is>
          <t>SD: GOOD ≤3, REVIEW ≤6</t>
        </is>
      </c>
    </row>
    <row r="60" ht="46.5" customHeight="1">
      <c r="B60" s="9" t="inlineStr">
        <is>
          <t>T3 모델·진단</t>
        </is>
      </c>
      <c r="C60" s="9" t="inlineStr">
        <is>
          <t>B_R900</t>
        </is>
      </c>
      <c r="D60" s="9" t="inlineStr">
        <is>
          <t>CORE / 합격성 O</t>
        </is>
      </c>
      <c r="E60" s="9" t="inlineStr">
        <is>
          <t>900초 장기 회복률 R900</t>
        </is>
      </c>
      <c r="F60" s="9" t="inlineStr">
        <is>
          <t>%</t>
        </is>
      </c>
      <c r="G60" s="9" t="inlineStr">
        <is>
          <t>Interval 3 시작 후 895–905초 η 평균 / η_base × 100.</t>
        </is>
      </c>
      <c r="H60" s="9" t="inlineStr">
        <is>
          <t>장기 재구축 또는 비가역 손실.</t>
        </is>
      </c>
      <c r="I60" s="9" t="inlineStr">
        <is>
          <t>기준 구축 단계용.</t>
        </is>
      </c>
      <c r="J60" s="9" t="inlineStr">
        <is>
          <t>15분 내 구조 복귀가 큼.</t>
        </is>
      </c>
      <c r="K60" s="9" t="inlineStr">
        <is>
          <t>느린 재구축·비가역 손실.</t>
        </is>
      </c>
      <c r="L60" s="9" t="inlineStr">
        <is>
          <t>회복 구간이 900초 미만이면 공란.</t>
        </is>
      </c>
      <c r="M60" s="9" t="inlineStr">
        <is>
          <t>Torque 10–95%.</t>
        </is>
      </c>
      <c r="N60" s="9" t="inlineStr">
        <is>
          <t>SD: GOOD ≤3, REVIEW ≤6</t>
        </is>
      </c>
    </row>
    <row r="61" ht="31" customHeight="1">
      <c r="B61" s="9" t="inlineStr">
        <is>
          <t>DQ 데이터 품질</t>
        </is>
      </c>
      <c r="C61" s="9" t="inlineStr">
        <is>
          <t>A_TQ_L</t>
        </is>
      </c>
      <c r="D61" s="9" t="inlineStr">
        <is>
          <t>DATA_QUALITY / 진단(제외)</t>
        </is>
      </c>
      <c r="E61" s="9" t="inlineStr">
        <is>
          <t>저전단 기준점 Torque(0.5 rpm)</t>
        </is>
      </c>
      <c r="F61" s="9" t="inlineStr">
        <is>
          <t>%</t>
        </is>
      </c>
      <c r="G61" s="9" t="inlineStr">
        <is>
          <t>Up 0.5 rpm Step 대표창의 유효 Torque 평균.</t>
        </is>
      </c>
      <c r="H61" s="9" t="inlineStr">
        <is>
          <t>저전단 측정 신호의 크기와 10% 하한까지의 여유.</t>
        </is>
      </c>
      <c r="I61" s="9" t="inlineStr">
        <is>
          <t>—</t>
        </is>
      </c>
      <c r="J61" s="9" t="inlineStr">
        <is>
          <t>신호 여유 증가.</t>
        </is>
      </c>
      <c r="K61" s="9" t="inlineStr">
        <is>
          <t>하한 근접 — Lot에 따라 공란이 생길 수 있음.</t>
        </is>
      </c>
      <c r="L61" s="9" t="inlineStr">
        <is>
          <t>물성이 아닌 측정 여유.</t>
        </is>
      </c>
      <c r="M61" s="9" t="inlineStr">
        <is>
          <t>10–95%.</t>
        </is>
      </c>
      <c r="N61" s="9" t="inlineStr">
        <is>
          <t>—</t>
        </is>
      </c>
    </row>
    <row r="62" ht="46.5" customHeight="1">
      <c r="B62" s="9" t="inlineStr">
        <is>
          <t>DQ 데이터 품질</t>
        </is>
      </c>
      <c r="C62" s="9" t="inlineStr">
        <is>
          <t>A_RES_L</t>
        </is>
      </c>
      <c r="D62" s="9" t="inlineStr">
        <is>
          <t>DATA_QUALITY / 진단(제외)</t>
        </is>
      </c>
      <c r="E62" s="9" t="inlineStr">
        <is>
          <t>저전단 기준점 분해능 한계(0.5 rpm)</t>
        </is>
      </c>
      <c r="F62" s="9" t="inlineStr">
        <is>
          <t>%</t>
        </is>
      </c>
      <c r="G62" s="9" t="inlineStr">
        <is>
          <t>0.1% / Torque_L × 100.</t>
        </is>
      </c>
      <c r="H62" s="9" t="inlineStr">
        <is>
          <t>Torque 표시 1단위가 τ↑(L)에서 차지하는 상대 크기. 이보다 작은 Lot 간 차이는 판별할 수 없음.</t>
        </is>
      </c>
      <c r="I62" s="9" t="inlineStr">
        <is>
          <t>—</t>
        </is>
      </c>
      <c r="J62" s="9" t="inlineStr">
        <is>
          <t>작은 차이 판별 불가.</t>
        </is>
      </c>
      <c r="K62" s="9" t="inlineStr">
        <is>
          <t>판별력 양호.</t>
        </is>
      </c>
      <c r="L62" s="9" t="inlineStr">
        <is>
          <t>측정 시스템 지표.</t>
        </is>
      </c>
      <c r="M62" s="9" t="inlineStr">
        <is>
          <t>—</t>
        </is>
      </c>
      <c r="N62" s="9" t="inlineStr">
        <is>
          <t>—</t>
        </is>
      </c>
    </row>
    <row r="63" ht="77.5" customHeight="1">
      <c r="B63" s="9" t="inlineStr">
        <is>
          <t>DQ 데이터 품질</t>
        </is>
      </c>
      <c r="C63" s="9" t="inlineStr">
        <is>
          <t>A_DUL_FLOOR</t>
        </is>
      </c>
      <c r="D63" s="9" t="inlineStr">
        <is>
          <t>CENSORED_METRIC / 진단(제외)</t>
        </is>
      </c>
      <c r="E63" s="9" t="inlineStr">
        <is>
          <t>저전단 D/U 검출하한(0.5 rpm)</t>
        </is>
      </c>
      <c r="F63" s="9" t="inlineStr">
        <is>
          <t>%</t>
        </is>
      </c>
      <c r="G63" s="9" t="inlineStr">
        <is>
          <t>Torque 하한(10%) / Torque_L(Up) × 100.</t>
        </is>
      </c>
      <c r="H63" s="9" t="inlineStr">
        <is>
          <t>하강 경로 저전단 Torque가 10% 미만으로 떨어져 A_DU_L이 공란(CENSORED)이 되는 경계. A_DU_L이 이 값에 가까우면 구조 손실이 큰 Lot일수록 값이 사라지는 구조적 편향이 생김.</t>
        </is>
      </c>
      <c r="I63" s="9" t="inlineStr">
        <is>
          <t>—</t>
        </is>
      </c>
      <c r="J63" s="9" t="inlineStr">
        <is>
          <t>측정 가능한 D/U 범위가 좁아짐 — 저전단 기준 RPM 상향 검토.</t>
        </is>
      </c>
      <c r="K63" s="9" t="inlineStr">
        <is>
          <t>측정 범위 넓음.</t>
        </is>
      </c>
      <c r="L63" s="9" t="inlineStr">
        <is>
          <t>측정 시스템 지표.</t>
        </is>
      </c>
      <c r="M63" s="9" t="inlineStr">
        <is>
          <t>—</t>
        </is>
      </c>
      <c r="N63" s="9" t="inlineStr">
        <is>
          <t>—</t>
        </is>
      </c>
    </row>
    <row r="64" ht="46.5" customHeight="1">
      <c r="B64" s="9" t="inlineStr">
        <is>
          <t>DQ 데이터 품질</t>
        </is>
      </c>
      <c r="C64" s="9" t="inlineStr">
        <is>
          <t>A_EQ_DRIFT_MAX</t>
        </is>
      </c>
      <c r="D64" s="9" t="inlineStr">
        <is>
          <t>DATA_QUALITY / 진단(제외)</t>
        </is>
      </c>
      <c r="E64" s="9" t="inlineStr">
        <is>
          <t>대표창 최대 드리프트</t>
        </is>
      </c>
      <c r="F64" s="9" t="inlineStr">
        <is>
          <t>%</t>
        </is>
      </c>
      <c r="G64" s="9" t="inlineStr">
        <is>
          <t>정량 Step마다 후반 10초 유효점의 선형 기울기 × 10초 / 평균 × 100, 그 절댓값의 최대.</t>
        </is>
      </c>
      <c r="H64" s="9" t="inlineStr">
        <is>
          <t>대표창에서 응력이 아직 변하고 있는 정도(준평형 확인, QC-RHEO-A-001 §8-4).</t>
        </is>
      </c>
      <c r="I64" s="9" t="inlineStr">
        <is>
          <t>—</t>
        </is>
      </c>
      <c r="J64" s="9" t="inlineStr">
        <is>
          <t>2% 초과 시 REVIEW — 유지시간 연장 검토.</t>
        </is>
      </c>
      <c r="K64" s="9" t="inlineStr">
        <is>
          <t>준평형에 가까움.</t>
        </is>
      </c>
      <c r="L64" s="9" t="inlineStr">
        <is>
          <t>임시 기준. Torque 분해능 계단이 드리프트처럼 보일 수 있음.</t>
        </is>
      </c>
      <c r="M64" s="9" t="inlineStr">
        <is>
          <t>—</t>
        </is>
      </c>
      <c r="N64" s="9" t="inlineStr">
        <is>
          <t>—</t>
        </is>
      </c>
    </row>
    <row r="65" ht="31" customHeight="1">
      <c r="B65" s="9" t="inlineStr">
        <is>
          <t>DQ 데이터 품질</t>
        </is>
      </c>
      <c r="C65" s="9" t="inlineStr">
        <is>
          <t>A_TEMP_MEAN</t>
        </is>
      </c>
      <c r="D65" s="9" t="inlineStr">
        <is>
          <t>DATA_QUALITY / 진단(제외)</t>
        </is>
      </c>
      <c r="E65" s="9" t="inlineStr">
        <is>
          <t>정량 Step 평균 시료 온도</t>
        </is>
      </c>
      <c r="F65" s="9" t="inlineStr">
        <is>
          <t>°C</t>
        </is>
      </c>
      <c r="G65" s="9" t="inlineStr">
        <is>
          <t>정량 Step 대표창 온도 평균.</t>
        </is>
      </c>
      <c r="H65" s="9" t="inlineStr">
        <is>
          <t>측정 온도 조건. 점도는 온도에 민감하므로 Lot 간 비교의 전제.</t>
        </is>
      </c>
      <c r="I65" s="9" t="inlineStr">
        <is>
          <t>—</t>
        </is>
      </c>
      <c r="J65" s="9" t="inlineStr">
        <is>
          <t>25±0.5 °C 밖이면 REVIEW.</t>
        </is>
      </c>
      <c r="K65" s="9" t="inlineStr">
        <is>
          <t>동일.</t>
        </is>
      </c>
      <c r="L65" s="9" t="inlineStr">
        <is>
          <t>CSV의 Temperature Control이 No이면 측정만 하고 제어는 하지 않은 것.</t>
        </is>
      </c>
      <c r="M65" s="9" t="inlineStr">
        <is>
          <t>—</t>
        </is>
      </c>
      <c r="N65" s="9" t="inlineStr">
        <is>
          <t>—</t>
        </is>
      </c>
    </row>
    <row r="66" ht="31" customHeight="1">
      <c r="B66" s="9" t="inlineStr">
        <is>
          <t>DQ 데이터 품질</t>
        </is>
      </c>
      <c r="C66" s="9" t="inlineStr">
        <is>
          <t>A_TEMP_SPAN</t>
        </is>
      </c>
      <c r="D66" s="9" t="inlineStr">
        <is>
          <t>DATA_QUALITY / 진단(제외)</t>
        </is>
      </c>
      <c r="E66" s="9" t="inlineStr">
        <is>
          <t>정량 Step 온도 변동폭</t>
        </is>
      </c>
      <c r="F66" s="9" t="inlineStr">
        <is>
          <t>°C</t>
        </is>
      </c>
      <c r="G66" s="9" t="inlineStr">
        <is>
          <t>정량 Step 대표창 온도 max − min.</t>
        </is>
      </c>
      <c r="H66" s="9" t="inlineStr">
        <is>
          <t>시험 중 온도 안정성.</t>
        </is>
      </c>
      <c r="I66" s="9" t="inlineStr">
        <is>
          <t>—</t>
        </is>
      </c>
      <c r="J66" s="9" t="inlineStr">
        <is>
          <t>1 °C 초과 시 REVIEW.</t>
        </is>
      </c>
      <c r="K66" s="9" t="inlineStr">
        <is>
          <t>안정.</t>
        </is>
      </c>
      <c r="L66" s="9" t="inlineStr">
        <is>
          <t>—</t>
        </is>
      </c>
      <c r="M66" s="9" t="inlineStr">
        <is>
          <t>—</t>
        </is>
      </c>
      <c r="N66" s="9" t="inlineStr">
        <is>
          <t>—</t>
        </is>
      </c>
    </row>
    <row r="67" ht="31" customHeight="1">
      <c r="B67" s="9" t="inlineStr">
        <is>
          <t>DQ 데이터 품질</t>
        </is>
      </c>
      <c r="C67" s="9" t="inlineStr">
        <is>
          <t>A_N_QUANT</t>
        </is>
      </c>
      <c r="D67" s="9" t="inlineStr">
        <is>
          <t>DATA_QUALITY / 진단(제외)</t>
        </is>
      </c>
      <c r="E67" s="9" t="inlineStr">
        <is>
          <t>정량 사용 회전 Step 수</t>
        </is>
      </c>
      <c r="F67" s="9" t="inlineStr">
        <is>
          <t>개</t>
        </is>
      </c>
      <c r="G67" s="9" t="inlineStr">
        <is>
          <t>60초·Torque 유효 조건을 충족해 대표값이 계산된 Up/Down Step 수.</t>
        </is>
      </c>
      <c r="H67" s="9" t="inlineStr">
        <is>
          <t>유동곡선 정보량. 제외 Step은 사유 열 참조.</t>
        </is>
      </c>
      <c r="I67" s="9" t="inlineStr">
        <is>
          <t>—</t>
        </is>
      </c>
      <c r="J67" s="9" t="inlineStr">
        <is>
          <t>정보량 증가.</t>
        </is>
      </c>
      <c r="K67" s="9" t="inlineStr">
        <is>
          <t>지정점 공란·H-B 불확실성 증가.</t>
        </is>
      </c>
      <c r="L67" s="9" t="inlineStr">
        <is>
          <t>—</t>
        </is>
      </c>
      <c r="M67" s="9" t="inlineStr">
        <is>
          <t>—</t>
        </is>
      </c>
      <c r="N67" s="9" t="inlineStr">
        <is>
          <t>—</t>
        </is>
      </c>
    </row>
    <row r="68" ht="31" customHeight="1">
      <c r="B68" s="9" t="inlineStr">
        <is>
          <t>DQ 데이터 품질</t>
        </is>
      </c>
      <c r="C68" s="9" t="inlineStr">
        <is>
          <t>D_TEMP</t>
        </is>
      </c>
      <c r="D68" s="9" t="inlineStr">
        <is>
          <t>DATA_QUALITY / 진단(제외)</t>
        </is>
      </c>
      <c r="E68" s="9" t="inlineStr">
        <is>
          <t>밀도 시험온도</t>
        </is>
      </c>
      <c r="F68" s="9" t="inlineStr">
        <is>
          <t>°C</t>
        </is>
      </c>
      <c r="G68" s="9" t="inlineStr">
        <is>
          <t>입력 파일의 temp_C.</t>
        </is>
      </c>
      <c r="H68" s="9" t="inlineStr">
        <is>
          <t>밀도 측정 온도 조건.</t>
        </is>
      </c>
      <c r="I68" s="9" t="inlineStr">
        <is>
          <t>—</t>
        </is>
      </c>
      <c r="J68" s="9" t="inlineStr">
        <is>
          <t>25±0.5 °C 밖이면 REVIEW.</t>
        </is>
      </c>
      <c r="K68" s="9" t="inlineStr">
        <is>
          <t>동일.</t>
        </is>
      </c>
      <c r="L68" s="9" t="inlineStr">
        <is>
          <t>—</t>
        </is>
      </c>
      <c r="M68" s="9" t="inlineStr">
        <is>
          <t>—</t>
        </is>
      </c>
      <c r="N68" s="9" t="inlineStr">
        <is>
          <t>—</t>
        </is>
      </c>
    </row>
    <row r="69" ht="31" customHeight="1">
      <c r="B69" s="9" t="inlineStr">
        <is>
          <t>DQ 데이터 품질</t>
        </is>
      </c>
      <c r="C69" s="9" t="inlineStr">
        <is>
          <t>B_TQ_BASE</t>
        </is>
      </c>
      <c r="D69" s="9" t="inlineStr">
        <is>
          <t>DATA_QUALITY / 진단(제외)</t>
        </is>
      </c>
      <c r="E69" s="9" t="inlineStr">
        <is>
          <t>3ITT 기준 구간 Torque</t>
        </is>
      </c>
      <c r="F69" s="9" t="inlineStr">
        <is>
          <t>%</t>
        </is>
      </c>
      <c r="G69" s="9" t="inlineStr">
        <is>
          <t>Interval 1 후반 창 Torque 평균.</t>
        </is>
      </c>
      <c r="H69" s="9" t="inlineStr">
        <is>
          <t>회복률 분모의 신호 크기.</t>
        </is>
      </c>
      <c r="I69" s="9" t="inlineStr">
        <is>
          <t>—</t>
        </is>
      </c>
      <c r="J69" s="9" t="inlineStr">
        <is>
          <t>여유 증가.</t>
        </is>
      </c>
      <c r="K69" s="9" t="inlineStr">
        <is>
          <t>10% 미만이면 회복률 전부 무효.</t>
        </is>
      </c>
      <c r="L69" s="9" t="inlineStr">
        <is>
          <t>—</t>
        </is>
      </c>
      <c r="M69" s="9" t="inlineStr">
        <is>
          <t>10–95%.</t>
        </is>
      </c>
      <c r="N69" s="9" t="inlineStr">
        <is>
          <t>—</t>
        </is>
      </c>
    </row>
    <row r="70" ht="62" customHeight="1">
      <c r="B70" s="9" t="inlineStr">
        <is>
          <t>DQ 데이터 품질</t>
        </is>
      </c>
      <c r="C70" s="9" t="inlineStr">
        <is>
          <t>B_REC_FLOOR</t>
        </is>
      </c>
      <c r="D70" s="9" t="inlineStr">
        <is>
          <t>CENSORED_METRIC / 진단(제외)</t>
        </is>
      </c>
      <c r="E70" s="9" t="inlineStr">
        <is>
          <t>3ITT 회복률 검출하한</t>
        </is>
      </c>
      <c r="F70" s="9" t="inlineStr">
        <is>
          <t>%</t>
        </is>
      </c>
      <c r="G70" s="9" t="inlineStr">
        <is>
          <t>Torque 하한(10%) / 기준 구간 Torque × 100.</t>
        </is>
      </c>
      <c r="H70" s="9" t="inlineStr">
        <is>
          <t>이보다 낮은 회복률은 Torque 10% 미만이라 정량할 수 없음(CENSORED). 기준 Torque가 10% 근처면 회복 곡선 대부분이 측정 불가.</t>
        </is>
      </c>
      <c r="I70" s="9" t="inlineStr">
        <is>
          <t>—</t>
        </is>
      </c>
      <c r="J70" s="9" t="inlineStr">
        <is>
          <t>회복 곡선 관측 범위가 좁음 — 회복 구간 RPM 상향 필요.</t>
        </is>
      </c>
      <c r="K70" s="9" t="inlineStr">
        <is>
          <t>관측 범위 넓음.</t>
        </is>
      </c>
      <c r="L70" s="9" t="inlineStr">
        <is>
          <t>측정 시스템 지표.</t>
        </is>
      </c>
      <c r="M70" s="9" t="inlineStr">
        <is>
          <t>—</t>
        </is>
      </c>
      <c r="N70" s="9" t="inlineStr">
        <is>
          <t>—</t>
        </is>
      </c>
    </row>
    <row r="71" ht="31" customHeight="1">
      <c r="B71" s="9" t="inlineStr">
        <is>
          <t>DQ 데이터 품질</t>
        </is>
      </c>
      <c r="C71" s="9" t="inlineStr">
        <is>
          <t>B_REC_VALID</t>
        </is>
      </c>
      <c r="D71" s="9" t="inlineStr">
        <is>
          <t>DATA_QUALITY / 진단(제외)</t>
        </is>
      </c>
      <c r="E71" s="9" t="inlineStr">
        <is>
          <t>회복 구간 유효 데이터 비율</t>
        </is>
      </c>
      <c r="F71" s="9" t="inlineStr">
        <is>
          <t>%</t>
        </is>
      </c>
      <c r="G71" s="9" t="inlineStr">
        <is>
          <t>Interval 3 점 중 Torque 10–95% 비율.</t>
        </is>
      </c>
      <c r="H71" s="9" t="inlineStr">
        <is>
          <t>회복 곡선의 정량 가능 범위.</t>
        </is>
      </c>
      <c r="I71" s="9" t="inlineStr">
        <is>
          <t>—</t>
        </is>
      </c>
      <c r="J71" s="9" t="inlineStr">
        <is>
          <t>정량 범위 넓음.</t>
        </is>
      </c>
      <c r="K71" s="9" t="inlineStr">
        <is>
          <t>저전단 조건 재설계 필요.</t>
        </is>
      </c>
      <c r="L71" s="9" t="inlineStr">
        <is>
          <t>—</t>
        </is>
      </c>
      <c r="M71" s="9" t="inlineStr">
        <is>
          <t>—</t>
        </is>
      </c>
      <c r="N71" s="9" t="inlineStr">
        <is>
          <t>—</t>
        </is>
      </c>
    </row>
  </sheetData>
  <mergeCells count="2">
    <mergeCell ref="B3:M3"/>
    <mergeCell ref="B2:M2"/>
  </mergeCells>
  <hyperlinks>
    <hyperlink ref="B1" location="'Lot_QC_Summary'!B2"/>
    <hyperlink ref="C1" location="'QC_Dictionary'!B2"/>
    <hyperlink ref="D1" location="'A_Replicates'!B2"/>
    <hyperlink ref="E1" location="'B_Replicates'!B2"/>
    <hyperlink ref="F1" location="'Density_Replicates'!B2"/>
    <hyperlink ref="G1" location="'A_Replicates_INCL'!B2"/>
    <hyperlink ref="H1" location="'A_Replicates_EXC'!B2"/>
    <hyperlink ref="I1" location="'Metric_Statistics'!B2"/>
    <hyperlink ref="J1" location="'A_Step_Replicates'!B2"/>
    <hyperlink ref="K1" location="'A_Step_Statistics'!B2"/>
    <hyperlink ref="L1" location="'Replicate_Flags'!B2"/>
    <hyperlink ref="M1" location="'Traceability'!B2"/>
  </hyperlink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HT6"/>
  <sheetViews>
    <sheetView showGridLines="0" workbookViewId="0">
      <pane xSplit="4" ySplit="5" topLeftCell="E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3" customWidth="1" min="8" max="8"/>
    <col width="13" customWidth="1" min="9" max="9"/>
    <col width="13" customWidth="1" min="10" max="10"/>
    <col width="20" customWidth="1" min="11" max="11"/>
    <col width="17" customWidth="1" min="12" max="12"/>
    <col width="11" customWidth="1" min="13" max="13"/>
    <col width="11" customWidth="1" min="14" max="14"/>
    <col width="12" customWidth="1" min="15" max="15"/>
    <col width="13" customWidth="1" min="16" max="16"/>
    <col width="15" customWidth="1" min="17" max="17"/>
    <col width="12" customWidth="1" min="18" max="18"/>
    <col width="12" customWidth="1" min="19" max="19"/>
    <col width="13" customWidth="1" min="20" max="20"/>
    <col width="13" customWidth="1" min="21" max="21"/>
    <col width="15" customWidth="1" min="22" max="22"/>
    <col width="12" customWidth="1" min="23" max="23"/>
    <col width="12" customWidth="1" min="24" max="24"/>
    <col width="18" customWidth="1" min="25" max="25"/>
    <col width="11" customWidth="1" min="26" max="26"/>
    <col width="11" customWidth="1" min="27" max="27"/>
    <col width="14" customWidth="1" min="28" max="28"/>
    <col width="15" customWidth="1" min="29" max="29"/>
    <col width="13" customWidth="1" min="30" max="30"/>
    <col width="15" customWidth="1" min="31" max="31"/>
    <col width="24" customWidth="1" min="32" max="32"/>
    <col width="24" customWidth="1" min="33" max="33"/>
    <col width="24" customWidth="1" min="34" max="34"/>
    <col width="21" customWidth="1" min="35" max="35"/>
    <col width="20" customWidth="1" min="36" max="36"/>
    <col width="17" customWidth="1" min="37" max="37"/>
    <col width="15" customWidth="1" min="38" max="38"/>
    <col width="14" customWidth="1" min="39" max="39"/>
    <col width="22" customWidth="1" min="40" max="40"/>
    <col width="19" customWidth="1" min="41" max="41"/>
    <col width="19" customWidth="1" min="42" max="42"/>
    <col width="20" customWidth="1" min="43" max="43"/>
    <col width="22" customWidth="1" min="44" max="44"/>
    <col width="19" customWidth="1" min="45" max="45"/>
    <col width="19" customWidth="1" min="46" max="46"/>
    <col width="20" customWidth="1" min="47" max="47"/>
    <col width="24" customWidth="1" min="48" max="48"/>
    <col width="23" customWidth="1" min="49" max="49"/>
    <col width="23" customWidth="1" min="50" max="50"/>
    <col width="22" customWidth="1" min="51" max="51"/>
    <col width="11" customWidth="1" min="52" max="52"/>
    <col width="11" customWidth="1" min="53" max="53"/>
    <col width="14" customWidth="1" min="54" max="54"/>
    <col width="17" customWidth="1" min="55" max="55"/>
    <col width="14" customWidth="1" min="56" max="56"/>
    <col width="14" customWidth="1" min="57" max="57"/>
    <col width="12" customWidth="1" min="58" max="58"/>
    <col hidden="1" width="24" customWidth="1" min="59" max="59"/>
    <col hidden="1" width="24" customWidth="1" min="60" max="60"/>
    <col hidden="1" width="24" customWidth="1" min="61" max="61"/>
    <col hidden="1" width="24" customWidth="1" min="62" max="62"/>
    <col hidden="1" width="24" customWidth="1" min="63" max="63"/>
    <col hidden="1" width="24" customWidth="1" min="64" max="64"/>
    <col hidden="1" width="24" customWidth="1" min="65" max="65"/>
    <col hidden="1" width="24" customWidth="1" min="66" max="66"/>
    <col hidden="1" width="24" customWidth="1" min="67" max="67"/>
    <col hidden="1" width="24" customWidth="1" min="68" max="68"/>
    <col hidden="1" width="24" customWidth="1" min="69" max="69"/>
    <col hidden="1" width="24" customWidth="1" min="70" max="70"/>
    <col hidden="1" width="24" customWidth="1" min="71" max="71"/>
    <col hidden="1" width="24" customWidth="1" min="72" max="72"/>
    <col hidden="1" width="24" customWidth="1" min="73" max="73"/>
    <col hidden="1" width="24" customWidth="1" min="74" max="74"/>
    <col hidden="1" width="21" customWidth="1" min="75" max="75"/>
    <col hidden="1" width="24" customWidth="1" min="76" max="76"/>
    <col hidden="1" width="24" customWidth="1" min="77" max="77"/>
    <col hidden="1" width="21" customWidth="1" min="78" max="78"/>
    <col hidden="1" width="24" customWidth="1" min="79" max="79"/>
    <col hidden="1" width="24" customWidth="1" min="80" max="80"/>
    <col hidden="1" width="24" customWidth="1" min="81" max="81"/>
    <col hidden="1" width="24" customWidth="1" min="82" max="82"/>
    <col hidden="1" width="24" customWidth="1" min="83" max="83"/>
    <col hidden="1" width="24" customWidth="1" min="84" max="84"/>
    <col hidden="1" width="24" customWidth="1" min="85" max="85"/>
    <col hidden="1" width="24" customWidth="1" min="86" max="86"/>
    <col hidden="1" width="24" customWidth="1" min="87" max="87"/>
    <col hidden="1" width="24" customWidth="1" min="88" max="88"/>
    <col hidden="1" width="24" customWidth="1" min="89" max="89"/>
    <col hidden="1" width="24" customWidth="1" min="90" max="90"/>
    <col hidden="1" width="24" customWidth="1" min="91" max="91"/>
    <col hidden="1" width="24" customWidth="1" min="92" max="92"/>
    <col hidden="1" width="24" customWidth="1" min="93" max="93"/>
    <col hidden="1" width="24" customWidth="1" min="94" max="94"/>
    <col hidden="1" width="24" customWidth="1" min="95" max="95"/>
    <col hidden="1" width="24" customWidth="1" min="96" max="96"/>
    <col hidden="1" width="24" customWidth="1" min="97" max="97"/>
    <col hidden="1" width="24" customWidth="1" min="98" max="98"/>
    <col hidden="1" width="24" customWidth="1" min="99" max="99"/>
    <col hidden="1" width="24" customWidth="1" min="100" max="100"/>
    <col hidden="1" width="24" customWidth="1" min="101" max="101"/>
    <col hidden="1" width="24" customWidth="1" min="102" max="102"/>
    <col hidden="1" width="24" customWidth="1" min="103" max="103"/>
    <col hidden="1" width="24" customWidth="1" min="104" max="104"/>
    <col hidden="1" width="24" customWidth="1" min="105" max="105"/>
    <col hidden="1" width="24" customWidth="1" min="106" max="106"/>
    <col hidden="1" width="24" customWidth="1" min="107" max="107"/>
    <col hidden="1" width="24" customWidth="1" min="108" max="108"/>
    <col hidden="1" width="24" customWidth="1" min="109" max="109"/>
    <col hidden="1" width="24" customWidth="1" min="110" max="110"/>
    <col hidden="1" width="24" customWidth="1" min="111" max="111"/>
    <col hidden="1" width="24" customWidth="1" min="112" max="112"/>
    <col hidden="1" width="24" customWidth="1" min="113" max="113"/>
    <col hidden="1" width="20" customWidth="1" min="114" max="114"/>
    <col hidden="1" width="24" customWidth="1" min="115" max="115"/>
    <col hidden="1" width="24" customWidth="1" min="116" max="116"/>
    <col hidden="1" width="22" customWidth="1" min="117" max="117"/>
    <col hidden="1" width="24" customWidth="1" min="118" max="118"/>
    <col hidden="1" width="24" customWidth="1" min="119" max="119"/>
    <col hidden="1" width="24" customWidth="1" min="120" max="120"/>
    <col hidden="1" width="24" customWidth="1" min="121" max="121"/>
    <col hidden="1" width="24" customWidth="1" min="122" max="122"/>
    <col hidden="1" width="24" customWidth="1" min="123" max="123"/>
    <col hidden="1" width="24" customWidth="1" min="124" max="124"/>
    <col hidden="1" width="24" customWidth="1" min="125" max="125"/>
    <col hidden="1" width="24" customWidth="1" min="126" max="126"/>
    <col hidden="1" width="24" customWidth="1" min="127" max="127"/>
    <col hidden="1" width="24" customWidth="1" min="128" max="128"/>
    <col hidden="1" width="24" customWidth="1" min="129" max="129"/>
    <col hidden="1" width="24" customWidth="1" min="130" max="130"/>
    <col hidden="1" width="24" customWidth="1" min="131" max="131"/>
    <col hidden="1" width="24" customWidth="1" min="132" max="132"/>
    <col hidden="1" width="24" customWidth="1" min="133" max="133"/>
    <col hidden="1" width="24" customWidth="1" min="134" max="134"/>
    <col hidden="1" width="24" customWidth="1" min="135" max="135"/>
    <col hidden="1" width="24" customWidth="1" min="136" max="136"/>
    <col hidden="1" width="24" customWidth="1" min="137" max="137"/>
    <col hidden="1" width="24" customWidth="1" min="138" max="138"/>
    <col hidden="1" width="24" customWidth="1" min="139" max="139"/>
    <col hidden="1" width="24" customWidth="1" min="140" max="140"/>
    <col hidden="1" width="24" customWidth="1" min="141" max="141"/>
    <col hidden="1" width="24" customWidth="1" min="142" max="142"/>
    <col hidden="1" width="24" customWidth="1" min="143" max="143"/>
    <col hidden="1" width="24" customWidth="1" min="144" max="144"/>
    <col hidden="1" width="24" customWidth="1" min="145" max="145"/>
    <col hidden="1" width="24" customWidth="1" min="146" max="146"/>
    <col hidden="1" width="24" customWidth="1" min="147" max="147"/>
    <col hidden="1" width="24" customWidth="1" min="148" max="148"/>
    <col hidden="1" width="24" customWidth="1" min="149" max="149"/>
    <col hidden="1" width="24" customWidth="1" min="150" max="150"/>
    <col hidden="1" width="24" customWidth="1" min="151" max="151"/>
    <col hidden="1" width="24" customWidth="1" min="152" max="152"/>
    <col hidden="1" width="24" customWidth="1" min="153" max="153"/>
    <col hidden="1" width="24" customWidth="1" min="154" max="154"/>
    <col hidden="1" width="24" customWidth="1" min="155" max="155"/>
    <col hidden="1" width="24" customWidth="1" min="156" max="156"/>
    <col hidden="1" width="24" customWidth="1" min="157" max="157"/>
    <col hidden="1" width="24" customWidth="1" min="158" max="158"/>
    <col hidden="1" width="24" customWidth="1" min="159" max="159"/>
    <col hidden="1" width="24" customWidth="1" min="160" max="160"/>
    <col hidden="1" width="24" customWidth="1" min="161" max="161"/>
    <col hidden="1" width="24" customWidth="1" min="162" max="162"/>
    <col hidden="1" width="24" customWidth="1" min="163" max="163"/>
    <col hidden="1" width="24" customWidth="1" min="164" max="164"/>
    <col hidden="1" width="24" customWidth="1" min="165" max="165"/>
    <col hidden="1" width="24" customWidth="1" min="166" max="166"/>
    <col hidden="1" width="24" customWidth="1" min="167" max="167"/>
    <col hidden="1" width="24" customWidth="1" min="168" max="168"/>
    <col hidden="1" width="24" customWidth="1" min="169" max="169"/>
    <col hidden="1" width="24" customWidth="1" min="170" max="170"/>
    <col hidden="1" width="24" customWidth="1" min="171" max="171"/>
    <col hidden="1" width="24" customWidth="1" min="172" max="172"/>
    <col hidden="1" width="24" customWidth="1" min="173" max="173"/>
    <col hidden="1" width="24" customWidth="1" min="174" max="174"/>
    <col hidden="1" width="24" customWidth="1" min="175" max="175"/>
    <col hidden="1" width="24" customWidth="1" min="176" max="176"/>
    <col hidden="1" width="24" customWidth="1" min="177" max="177"/>
    <col hidden="1" width="24" customWidth="1" min="178" max="178"/>
    <col hidden="1" width="24" customWidth="1" min="179" max="179"/>
    <col hidden="1" width="24" customWidth="1" min="180" max="180"/>
    <col hidden="1" width="24" customWidth="1" min="181" max="181"/>
    <col hidden="1" width="24" customWidth="1" min="182" max="182"/>
    <col hidden="1" width="24" customWidth="1" min="183" max="183"/>
    <col hidden="1" width="24" customWidth="1" min="184" max="184"/>
    <col hidden="1" width="24" customWidth="1" min="185" max="185"/>
    <col hidden="1" width="24" customWidth="1" min="186" max="186"/>
    <col hidden="1" width="24" customWidth="1" min="187" max="187"/>
    <col hidden="1" width="24" customWidth="1" min="188" max="188"/>
    <col hidden="1" width="24" customWidth="1" min="189" max="189"/>
    <col hidden="1" width="24" customWidth="1" min="190" max="190"/>
    <col hidden="1" width="24" customWidth="1" min="191" max="191"/>
    <col hidden="1" width="21" customWidth="1" min="192" max="192"/>
    <col hidden="1" width="24" customWidth="1" min="193" max="193"/>
    <col hidden="1" width="24" customWidth="1" min="194" max="194"/>
    <col hidden="1" width="22" customWidth="1" min="195" max="195"/>
    <col hidden="1" width="24" customWidth="1" min="196" max="196"/>
    <col hidden="1" width="24" customWidth="1" min="197" max="197"/>
    <col hidden="1" width="24" customWidth="1" min="198" max="198"/>
    <col hidden="1" width="24" customWidth="1" min="199" max="199"/>
    <col hidden="1" width="24" customWidth="1" min="200" max="200"/>
    <col hidden="1" width="24" customWidth="1" min="201" max="201"/>
    <col hidden="1" width="24" customWidth="1" min="202" max="202"/>
    <col hidden="1" width="24" customWidth="1" min="203" max="203"/>
    <col hidden="1" width="24" customWidth="1" min="204" max="204"/>
    <col hidden="1" width="24" customWidth="1" min="205" max="205"/>
    <col hidden="1" width="24" customWidth="1" min="206" max="206"/>
    <col hidden="1" width="24" customWidth="1" min="207" max="207"/>
    <col hidden="1" width="24" customWidth="1" min="208" max="208"/>
    <col hidden="1" width="24" customWidth="1" min="209" max="209"/>
    <col hidden="1" width="24" customWidth="1" min="210" max="210"/>
    <col hidden="1" width="24" customWidth="1" min="211" max="211"/>
    <col width="24" customWidth="1" min="212" max="212"/>
    <col width="24" customWidth="1" min="213" max="213"/>
    <col width="24" customWidth="1" min="214" max="214"/>
    <col width="24" customWidth="1" min="215" max="215"/>
    <col width="24" customWidth="1" min="216" max="216"/>
    <col width="24" customWidth="1" min="217" max="217"/>
    <col width="23" customWidth="1" min="218" max="218"/>
    <col width="24" customWidth="1" min="219" max="219"/>
    <col width="24" customWidth="1" min="220" max="220"/>
    <col width="24" customWidth="1" min="221" max="221"/>
    <col width="24" customWidth="1" min="222" max="222"/>
    <col width="24" customWidth="1" min="223" max="223"/>
    <col width="17" customWidth="1" min="224" max="224"/>
    <col width="18" customWidth="1" min="225" max="225"/>
    <col width="17" customWidth="1" min="226" max="226"/>
    <col width="18" customWidth="1" min="227" max="227"/>
    <col width="15" customWidth="1" min="228" max="228"/>
  </cols>
  <sheetData>
    <row r="1">
      <c r="B1" s="1" t="inlineStr">
        <is>
          <t>Lot_QC_Summary</t>
        </is>
      </c>
      <c r="C1" s="1" t="inlineStr">
        <is>
          <t>QC_Dictionary</t>
        </is>
      </c>
      <c r="D1" s="1" t="inlineStr">
        <is>
          <t>A_Replicates</t>
        </is>
      </c>
      <c r="E1" s="1" t="inlineStr">
        <is>
          <t>B_Replicates</t>
        </is>
      </c>
      <c r="F1" s="1" t="inlineStr">
        <is>
          <t>Density_Replicates</t>
        </is>
      </c>
      <c r="G1" s="1" t="inlineStr">
        <is>
          <t>A_Replicates_INCL</t>
        </is>
      </c>
      <c r="H1" s="1" t="inlineStr">
        <is>
          <t>A_Replicates_EXC</t>
        </is>
      </c>
      <c r="I1" s="1" t="inlineStr">
        <is>
          <t>Metric_Statistics</t>
        </is>
      </c>
      <c r="J1" s="1" t="inlineStr">
        <is>
          <t>A_Step_Replicates</t>
        </is>
      </c>
      <c r="K1" s="1" t="inlineStr">
        <is>
          <t>A_Step_Statistics</t>
        </is>
      </c>
      <c r="L1" s="1" t="inlineStr">
        <is>
          <t>Replicate_Flags</t>
        </is>
      </c>
      <c r="M1" s="1" t="inlineStr">
        <is>
          <t>Traceability</t>
        </is>
      </c>
    </row>
    <row r="2" ht="28" customHeight="1">
      <c r="B2" s="2" t="inlineStr">
        <is>
          <t>A_Replicates — STRICT 채널 반복별 QC 지표 원값</t>
        </is>
      </c>
    </row>
    <row r="3" ht="30" customHeight="1">
      <c r="B3" s="3" t="inlineStr">
        <is>
          <t>STRICT: 60 s hold·Torque 10–95% 기준 값입니다. Inclusive 값은 A_Replicates_INCL, 예외 사용 내역은 A_Replicates_EXC·Replicate_Flags 참조.</t>
        </is>
      </c>
    </row>
    <row r="4" ht="30" customHeight="1">
      <c r="B4" s="4" t="inlineStr">
        <is>
          <t>POLICY INCLUSIVE — accepted holds 30,45,60 s, 범위 밖 Torque 점 inclusive 포함. EXCEPTION·CENSORED 값은 표준 60 s Lot 통계·추세·규격 설정에 혼용 금지</t>
        </is>
      </c>
    </row>
    <row r="5" ht="28" customHeight="1">
      <c r="B5" s="8" t="inlineStr">
        <is>
          <t>lot</t>
        </is>
      </c>
      <c r="C5" s="8" t="inlineStr">
        <is>
          <t>repeat</t>
        </is>
      </c>
      <c r="D5" s="8" t="inlineStr">
        <is>
          <t>file</t>
        </is>
      </c>
      <c r="E5" s="8" t="inlineStr">
        <is>
          <t>test_start</t>
        </is>
      </c>
      <c r="F5" s="8" t="inlineStr">
        <is>
          <t>route</t>
        </is>
      </c>
      <c r="G5" s="8" t="inlineStr">
        <is>
          <t>data_qc</t>
        </is>
      </c>
      <c r="H5" s="8" t="inlineStr">
        <is>
          <t>A_TAU_L_UP</t>
        </is>
      </c>
      <c r="I5" s="8" t="inlineStr">
        <is>
          <t>A_TAU_M_UP</t>
        </is>
      </c>
      <c r="J5" s="8" t="inlineStr">
        <is>
          <t>A_TAU_H_UP</t>
        </is>
      </c>
      <c r="K5" s="8" t="inlineStr">
        <is>
          <t>A_SSI_FIELD_0P2_2</t>
        </is>
      </c>
      <c r="L5" s="8" t="inlineStr">
        <is>
          <t>A_SSI_QC_0P5_5</t>
        </is>
      </c>
      <c r="M5" s="8" t="inlineStr">
        <is>
          <t>A_DU_L</t>
        </is>
      </c>
      <c r="N5" s="8" t="inlineStr">
        <is>
          <t>A_DU_M</t>
        </is>
      </c>
      <c r="O5" s="8" t="inlineStr">
        <is>
          <t>A_HYS_REL</t>
        </is>
      </c>
      <c r="P5" s="8" t="inlineStr">
        <is>
          <t>A_BRK_PEAK</t>
        </is>
      </c>
      <c r="Q5" s="8" t="inlineStr">
        <is>
          <t>A_HB_TAUY_UP</t>
        </is>
      </c>
      <c r="R5" s="8" t="inlineStr">
        <is>
          <t>A_HB_K_UP</t>
        </is>
      </c>
      <c r="S5" s="8" t="inlineStr">
        <is>
          <t>A_HB_N_UP</t>
        </is>
      </c>
      <c r="T5" s="8" t="inlineStr">
        <is>
          <t>A_HB_R2_UP</t>
        </is>
      </c>
      <c r="U5" s="8" t="inlineStr">
        <is>
          <t>A_HB_R2_DN</t>
        </is>
      </c>
      <c r="V5" s="8" t="inlineStr">
        <is>
          <t>A_HB_TAUY_DN</t>
        </is>
      </c>
      <c r="W5" s="8" t="inlineStr">
        <is>
          <t>A_HB_K_DN</t>
        </is>
      </c>
      <c r="X5" s="8" t="inlineStr">
        <is>
          <t>A_HB_N_DN</t>
        </is>
      </c>
      <c r="Y5" s="8" t="inlineStr">
        <is>
          <t>A_HB_TAUY_RATIO</t>
        </is>
      </c>
      <c r="Z5" s="8" t="inlineStr">
        <is>
          <t>A_HDI</t>
        </is>
      </c>
      <c r="AA5" s="8" t="inlineStr">
        <is>
          <t>A_OVS_L</t>
        </is>
      </c>
      <c r="AB5" s="8" t="inlineStr">
        <is>
          <t>A_HB_GRANGE</t>
        </is>
      </c>
      <c r="AC5" s="8" t="inlineStr">
        <is>
          <t>A_ETA_MIN_UP</t>
        </is>
      </c>
      <c r="AD5" s="8" t="inlineStr">
        <is>
          <t>A_ETA_HIGH</t>
        </is>
      </c>
      <c r="AE5" s="8" t="inlineStr">
        <is>
          <t>A_ETA_LOW_DN</t>
        </is>
      </c>
      <c r="AF5" s="8" t="inlineStr">
        <is>
          <t>A_STATIC_YIELD_APPROX_UP</t>
        </is>
      </c>
      <c r="AG5" s="8" t="inlineStr">
        <is>
          <t>A_POST_SHEAR_STARTUP_STRESS</t>
        </is>
      </c>
      <c r="AH5" s="8" t="inlineStr">
        <is>
          <t>A_POST_SHEAR_STRESS_RETENTION</t>
        </is>
      </c>
      <c r="AI5" s="8" t="inlineStr">
        <is>
          <t>A_ETA_RECOVERY_LOW</t>
        </is>
      </c>
      <c r="AJ5" s="8" t="inlineStr">
        <is>
          <t>A_HYS_AREA_SIGNED</t>
        </is>
      </c>
      <c r="AK5" s="8" t="inlineStr">
        <is>
          <t>A_HYS_AREA_ABS</t>
        </is>
      </c>
      <c r="AL5" s="8" t="inlineStr">
        <is>
          <t>A_HB_K_RATIO</t>
        </is>
      </c>
      <c r="AM5" s="8" t="inlineStr">
        <is>
          <t>A_HB_N_DIFF</t>
        </is>
      </c>
      <c r="AN5" s="8" t="inlineStr">
        <is>
          <t>A_HB_TAUY_UP_COMMON</t>
        </is>
      </c>
      <c r="AO5" s="8" t="inlineStr">
        <is>
          <t>A_HB_K_UP_COMMON</t>
        </is>
      </c>
      <c r="AP5" s="8" t="inlineStr">
        <is>
          <t>A_HB_N_UP_COMMON</t>
        </is>
      </c>
      <c r="AQ5" s="8" t="inlineStr">
        <is>
          <t>A_HB_R2_UP_COMMON</t>
        </is>
      </c>
      <c r="AR5" s="8" t="inlineStr">
        <is>
          <t>A_HB_TAUY_DN_COMMON</t>
        </is>
      </c>
      <c r="AS5" s="8" t="inlineStr">
        <is>
          <t>A_HB_K_DN_COMMON</t>
        </is>
      </c>
      <c r="AT5" s="8" t="inlineStr">
        <is>
          <t>A_HB_N_DN_COMMON</t>
        </is>
      </c>
      <c r="AU5" s="8" t="inlineStr">
        <is>
          <t>A_HB_R2_DN_COMMON</t>
        </is>
      </c>
      <c r="AV5" s="8" t="inlineStr">
        <is>
          <t>A_HB_TAUY_RATIO_COMMON</t>
        </is>
      </c>
      <c r="AW5" s="8" t="inlineStr">
        <is>
          <t>A_STARTUP_PLATEAU_UP</t>
        </is>
      </c>
      <c r="AX5" s="8" t="inlineStr">
        <is>
          <t>A_POST_SHEAR_PLATEAU</t>
        </is>
      </c>
      <c r="AY5" s="8" t="inlineStr">
        <is>
          <t>A_PLATEAU_RETENTION</t>
        </is>
      </c>
      <c r="AZ5" s="8" t="inlineStr">
        <is>
          <t>A_TQ_L</t>
        </is>
      </c>
      <c r="BA5" s="8" t="inlineStr">
        <is>
          <t>A_RES_L</t>
        </is>
      </c>
      <c r="BB5" s="8" t="inlineStr">
        <is>
          <t>A_DUL_FLOOR</t>
        </is>
      </c>
      <c r="BC5" s="8" t="inlineStr">
        <is>
          <t>A_EQ_DRIFT_MAX</t>
        </is>
      </c>
      <c r="BD5" s="8" t="inlineStr">
        <is>
          <t>A_TEMP_MEAN</t>
        </is>
      </c>
      <c r="BE5" s="8" t="inlineStr">
        <is>
          <t>A_TEMP_SPAN</t>
        </is>
      </c>
      <c r="BF5" s="8" t="inlineStr">
        <is>
          <t>A_N_QUANT</t>
        </is>
      </c>
      <c r="BG5" s="8" t="inlineStr">
        <is>
          <t>A_TAU_L_UP__include_in_lot_stats</t>
        </is>
      </c>
      <c r="BH5" s="8" t="inlineStr">
        <is>
          <t>A_TAU_L_UP__stat_value</t>
        </is>
      </c>
      <c r="BI5" s="8" t="inlineStr">
        <is>
          <t>A_TAU_L_UP__lot_exclusion_reason</t>
        </is>
      </c>
      <c r="BJ5" s="8" t="inlineStr">
        <is>
          <t>A_TAU_M_UP__include_in_lot_stats</t>
        </is>
      </c>
      <c r="BK5" s="8" t="inlineStr">
        <is>
          <t>A_TAU_M_UP__stat_value</t>
        </is>
      </c>
      <c r="BL5" s="8" t="inlineStr">
        <is>
          <t>A_TAU_M_UP__lot_exclusion_reason</t>
        </is>
      </c>
      <c r="BM5" s="8" t="inlineStr">
        <is>
          <t>A_TAU_H_UP__include_in_lot_stats</t>
        </is>
      </c>
      <c r="BN5" s="8" t="inlineStr">
        <is>
          <t>A_TAU_H_UP__stat_value</t>
        </is>
      </c>
      <c r="BO5" s="8" t="inlineStr">
        <is>
          <t>A_TAU_H_UP__lot_exclusion_reason</t>
        </is>
      </c>
      <c r="BP5" s="8" t="inlineStr">
        <is>
          <t>A_SSI_FIELD_0P2_2__include_in_lot_stats</t>
        </is>
      </c>
      <c r="BQ5" s="8" t="inlineStr">
        <is>
          <t>A_SSI_FIELD_0P2_2__stat_value</t>
        </is>
      </c>
      <c r="BR5" s="8" t="inlineStr">
        <is>
          <t>A_SSI_FIELD_0P2_2__lot_exclusion_reason</t>
        </is>
      </c>
      <c r="BS5" s="8" t="inlineStr">
        <is>
          <t>A_SSI_QC_0P5_5__include_in_lot_stats</t>
        </is>
      </c>
      <c r="BT5" s="8" t="inlineStr">
        <is>
          <t>A_SSI_QC_0P5_5__stat_value</t>
        </is>
      </c>
      <c r="BU5" s="8" t="inlineStr">
        <is>
          <t>A_SSI_QC_0P5_5__lot_exclusion_reason</t>
        </is>
      </c>
      <c r="BV5" s="8" t="inlineStr">
        <is>
          <t>A_DU_L__include_in_lot_stats</t>
        </is>
      </c>
      <c r="BW5" s="8" t="inlineStr">
        <is>
          <t>A_DU_L__stat_value</t>
        </is>
      </c>
      <c r="BX5" s="8" t="inlineStr">
        <is>
          <t>A_DU_L__lot_exclusion_reason</t>
        </is>
      </c>
      <c r="BY5" s="8" t="inlineStr">
        <is>
          <t>A_DU_M__include_in_lot_stats</t>
        </is>
      </c>
      <c r="BZ5" s="8" t="inlineStr">
        <is>
          <t>A_DU_M__stat_value</t>
        </is>
      </c>
      <c r="CA5" s="8" t="inlineStr">
        <is>
          <t>A_DU_M__lot_exclusion_reason</t>
        </is>
      </c>
      <c r="CB5" s="8" t="inlineStr">
        <is>
          <t>A_HYS_REL__include_in_lot_stats</t>
        </is>
      </c>
      <c r="CC5" s="8" t="inlineStr">
        <is>
          <t>A_HYS_REL__stat_value</t>
        </is>
      </c>
      <c r="CD5" s="8" t="inlineStr">
        <is>
          <t>A_HYS_REL__lot_exclusion_reason</t>
        </is>
      </c>
      <c r="CE5" s="8" t="inlineStr">
        <is>
          <t>A_BRK_PEAK__include_in_lot_stats</t>
        </is>
      </c>
      <c r="CF5" s="8" t="inlineStr">
        <is>
          <t>A_BRK_PEAK__stat_value</t>
        </is>
      </c>
      <c r="CG5" s="8" t="inlineStr">
        <is>
          <t>A_BRK_PEAK__lot_exclusion_reason</t>
        </is>
      </c>
      <c r="CH5" s="8" t="inlineStr">
        <is>
          <t>A_HB_TAUY_UP__include_in_lot_stats</t>
        </is>
      </c>
      <c r="CI5" s="8" t="inlineStr">
        <is>
          <t>A_HB_TAUY_UP__stat_value</t>
        </is>
      </c>
      <c r="CJ5" s="8" t="inlineStr">
        <is>
          <t>A_HB_TAUY_UP__lot_exclusion_reason</t>
        </is>
      </c>
      <c r="CK5" s="8" t="inlineStr">
        <is>
          <t>A_HB_K_UP__include_in_lot_stats</t>
        </is>
      </c>
      <c r="CL5" s="8" t="inlineStr">
        <is>
          <t>A_HB_K_UP__stat_value</t>
        </is>
      </c>
      <c r="CM5" s="8" t="inlineStr">
        <is>
          <t>A_HB_K_UP__lot_exclusion_reason</t>
        </is>
      </c>
      <c r="CN5" s="8" t="inlineStr">
        <is>
          <t>A_HB_N_UP__include_in_lot_stats</t>
        </is>
      </c>
      <c r="CO5" s="8" t="inlineStr">
        <is>
          <t>A_HB_N_UP__stat_value</t>
        </is>
      </c>
      <c r="CP5" s="8" t="inlineStr">
        <is>
          <t>A_HB_N_UP__lot_exclusion_reason</t>
        </is>
      </c>
      <c r="CQ5" s="8" t="inlineStr">
        <is>
          <t>A_HB_R2_UP__include_in_lot_stats</t>
        </is>
      </c>
      <c r="CR5" s="8" t="inlineStr">
        <is>
          <t>A_HB_R2_UP__stat_value</t>
        </is>
      </c>
      <c r="CS5" s="8" t="inlineStr">
        <is>
          <t>A_HB_R2_UP__lot_exclusion_reason</t>
        </is>
      </c>
      <c r="CT5" s="8" t="inlineStr">
        <is>
          <t>A_HB_R2_DN__include_in_lot_stats</t>
        </is>
      </c>
      <c r="CU5" s="8" t="inlineStr">
        <is>
          <t>A_HB_R2_DN__stat_value</t>
        </is>
      </c>
      <c r="CV5" s="8" t="inlineStr">
        <is>
          <t>A_HB_R2_DN__lot_exclusion_reason</t>
        </is>
      </c>
      <c r="CW5" s="8" t="inlineStr">
        <is>
          <t>A_HB_TAUY_DN__include_in_lot_stats</t>
        </is>
      </c>
      <c r="CX5" s="8" t="inlineStr">
        <is>
          <t>A_HB_TAUY_DN__stat_value</t>
        </is>
      </c>
      <c r="CY5" s="8" t="inlineStr">
        <is>
          <t>A_HB_TAUY_DN__lot_exclusion_reason</t>
        </is>
      </c>
      <c r="CZ5" s="8" t="inlineStr">
        <is>
          <t>A_HB_K_DN__include_in_lot_stats</t>
        </is>
      </c>
      <c r="DA5" s="8" t="inlineStr">
        <is>
          <t>A_HB_K_DN__stat_value</t>
        </is>
      </c>
      <c r="DB5" s="8" t="inlineStr">
        <is>
          <t>A_HB_K_DN__lot_exclusion_reason</t>
        </is>
      </c>
      <c r="DC5" s="8" t="inlineStr">
        <is>
          <t>A_HB_N_DN__include_in_lot_stats</t>
        </is>
      </c>
      <c r="DD5" s="8" t="inlineStr">
        <is>
          <t>A_HB_N_DN__stat_value</t>
        </is>
      </c>
      <c r="DE5" s="8" t="inlineStr">
        <is>
          <t>A_HB_N_DN__lot_exclusion_reason</t>
        </is>
      </c>
      <c r="DF5" s="8" t="inlineStr">
        <is>
          <t>A_HB_TAUY_RATIO__include_in_lot_stats</t>
        </is>
      </c>
      <c r="DG5" s="8" t="inlineStr">
        <is>
          <t>A_HB_TAUY_RATIO__stat_value</t>
        </is>
      </c>
      <c r="DH5" s="8" t="inlineStr">
        <is>
          <t>A_HB_TAUY_RATIO__lot_exclusion_reason</t>
        </is>
      </c>
      <c r="DI5" s="8" t="inlineStr">
        <is>
          <t>A_HDI__include_in_lot_stats</t>
        </is>
      </c>
      <c r="DJ5" s="8" t="inlineStr">
        <is>
          <t>A_HDI__stat_value</t>
        </is>
      </c>
      <c r="DK5" s="8" t="inlineStr">
        <is>
          <t>A_HDI__lot_exclusion_reason</t>
        </is>
      </c>
      <c r="DL5" s="8" t="inlineStr">
        <is>
          <t>A_OVS_L__include_in_lot_stats</t>
        </is>
      </c>
      <c r="DM5" s="8" t="inlineStr">
        <is>
          <t>A_OVS_L__stat_value</t>
        </is>
      </c>
      <c r="DN5" s="8" t="inlineStr">
        <is>
          <t>A_OVS_L__lot_exclusion_reason</t>
        </is>
      </c>
      <c r="DO5" s="8" t="inlineStr">
        <is>
          <t>A_HB_GRANGE__include_in_lot_stats</t>
        </is>
      </c>
      <c r="DP5" s="8" t="inlineStr">
        <is>
          <t>A_HB_GRANGE__stat_value</t>
        </is>
      </c>
      <c r="DQ5" s="8" t="inlineStr">
        <is>
          <t>A_HB_GRANGE__lot_exclusion_reason</t>
        </is>
      </c>
      <c r="DR5" s="8" t="inlineStr">
        <is>
          <t>A_ETA_MIN_UP__include_in_lot_stats</t>
        </is>
      </c>
      <c r="DS5" s="8" t="inlineStr">
        <is>
          <t>A_ETA_MIN_UP__stat_value</t>
        </is>
      </c>
      <c r="DT5" s="8" t="inlineStr">
        <is>
          <t>A_ETA_MIN_UP__lot_exclusion_reason</t>
        </is>
      </c>
      <c r="DU5" s="8" t="inlineStr">
        <is>
          <t>A_ETA_HIGH__include_in_lot_stats</t>
        </is>
      </c>
      <c r="DV5" s="8" t="inlineStr">
        <is>
          <t>A_ETA_HIGH__stat_value</t>
        </is>
      </c>
      <c r="DW5" s="8" t="inlineStr">
        <is>
          <t>A_ETA_HIGH__lot_exclusion_reason</t>
        </is>
      </c>
      <c r="DX5" s="8" t="inlineStr">
        <is>
          <t>A_ETA_LOW_DN__include_in_lot_stats</t>
        </is>
      </c>
      <c r="DY5" s="8" t="inlineStr">
        <is>
          <t>A_ETA_LOW_DN__stat_value</t>
        </is>
      </c>
      <c r="DZ5" s="8" t="inlineStr">
        <is>
          <t>A_ETA_LOW_DN__lot_exclusion_reason</t>
        </is>
      </c>
      <c r="EA5" s="8" t="inlineStr">
        <is>
          <t>A_STATIC_YIELD_APPROX_UP__include_in_lot_stats</t>
        </is>
      </c>
      <c r="EB5" s="8" t="inlineStr">
        <is>
          <t>A_STATIC_YIELD_APPROX_UP__stat_value</t>
        </is>
      </c>
      <c r="EC5" s="8" t="inlineStr">
        <is>
          <t>A_STATIC_YIELD_APPROX_UP__lot_exclusion_reason</t>
        </is>
      </c>
      <c r="ED5" s="8" t="inlineStr">
        <is>
          <t>A_POST_SHEAR_STARTUP_STRESS__include_in_lot_stats</t>
        </is>
      </c>
      <c r="EE5" s="8" t="inlineStr">
        <is>
          <t>A_POST_SHEAR_STARTUP_STRESS__stat_value</t>
        </is>
      </c>
      <c r="EF5" s="8" t="inlineStr">
        <is>
          <t>A_POST_SHEAR_STARTUP_STRESS__lot_exclusion_reason</t>
        </is>
      </c>
      <c r="EG5" s="8" t="inlineStr">
        <is>
          <t>A_POST_SHEAR_STRESS_RETENTION__include_in_lot_stats</t>
        </is>
      </c>
      <c r="EH5" s="8" t="inlineStr">
        <is>
          <t>A_POST_SHEAR_STRESS_RETENTION__stat_value</t>
        </is>
      </c>
      <c r="EI5" s="8" t="inlineStr">
        <is>
          <t>A_POST_SHEAR_STRESS_RETENTION__lot_exclusion_reason</t>
        </is>
      </c>
      <c r="EJ5" s="8" t="inlineStr">
        <is>
          <t>A_ETA_RECOVERY_LOW__include_in_lot_stats</t>
        </is>
      </c>
      <c r="EK5" s="8" t="inlineStr">
        <is>
          <t>A_ETA_RECOVERY_LOW__stat_value</t>
        </is>
      </c>
      <c r="EL5" s="8" t="inlineStr">
        <is>
          <t>A_ETA_RECOVERY_LOW__lot_exclusion_reason</t>
        </is>
      </c>
      <c r="EM5" s="8" t="inlineStr">
        <is>
          <t>A_HYS_AREA_SIGNED__include_in_lot_stats</t>
        </is>
      </c>
      <c r="EN5" s="8" t="inlineStr">
        <is>
          <t>A_HYS_AREA_SIGNED__stat_value</t>
        </is>
      </c>
      <c r="EO5" s="8" t="inlineStr">
        <is>
          <t>A_HYS_AREA_SIGNED__lot_exclusion_reason</t>
        </is>
      </c>
      <c r="EP5" s="8" t="inlineStr">
        <is>
          <t>A_HYS_AREA_ABS__include_in_lot_stats</t>
        </is>
      </c>
      <c r="EQ5" s="8" t="inlineStr">
        <is>
          <t>A_HYS_AREA_ABS__stat_value</t>
        </is>
      </c>
      <c r="ER5" s="8" t="inlineStr">
        <is>
          <t>A_HYS_AREA_ABS__lot_exclusion_reason</t>
        </is>
      </c>
      <c r="ES5" s="8" t="inlineStr">
        <is>
          <t>A_HB_K_RATIO__include_in_lot_stats</t>
        </is>
      </c>
      <c r="ET5" s="8" t="inlineStr">
        <is>
          <t>A_HB_K_RATIO__stat_value</t>
        </is>
      </c>
      <c r="EU5" s="8" t="inlineStr">
        <is>
          <t>A_HB_K_RATIO__lot_exclusion_reason</t>
        </is>
      </c>
      <c r="EV5" s="8" t="inlineStr">
        <is>
          <t>A_HB_N_DIFF__include_in_lot_stats</t>
        </is>
      </c>
      <c r="EW5" s="8" t="inlineStr">
        <is>
          <t>A_HB_N_DIFF__stat_value</t>
        </is>
      </c>
      <c r="EX5" s="8" t="inlineStr">
        <is>
          <t>A_HB_N_DIFF__lot_exclusion_reason</t>
        </is>
      </c>
      <c r="EY5" s="8" t="inlineStr">
        <is>
          <t>A_HB_TAUY_UP_COMMON__include_in_lot_stats</t>
        </is>
      </c>
      <c r="EZ5" s="8" t="inlineStr">
        <is>
          <t>A_HB_TAUY_UP_COMMON__stat_value</t>
        </is>
      </c>
      <c r="FA5" s="8" t="inlineStr">
        <is>
          <t>A_HB_TAUY_UP_COMMON__lot_exclusion_reason</t>
        </is>
      </c>
      <c r="FB5" s="8" t="inlineStr">
        <is>
          <t>A_HB_K_UP_COMMON__include_in_lot_stats</t>
        </is>
      </c>
      <c r="FC5" s="8" t="inlineStr">
        <is>
          <t>A_HB_K_UP_COMMON__stat_value</t>
        </is>
      </c>
      <c r="FD5" s="8" t="inlineStr">
        <is>
          <t>A_HB_K_UP_COMMON__lot_exclusion_reason</t>
        </is>
      </c>
      <c r="FE5" s="8" t="inlineStr">
        <is>
          <t>A_HB_N_UP_COMMON__include_in_lot_stats</t>
        </is>
      </c>
      <c r="FF5" s="8" t="inlineStr">
        <is>
          <t>A_HB_N_UP_COMMON__stat_value</t>
        </is>
      </c>
      <c r="FG5" s="8" t="inlineStr">
        <is>
          <t>A_HB_N_UP_COMMON__lot_exclusion_reason</t>
        </is>
      </c>
      <c r="FH5" s="8" t="inlineStr">
        <is>
          <t>A_HB_R2_UP_COMMON__include_in_lot_stats</t>
        </is>
      </c>
      <c r="FI5" s="8" t="inlineStr">
        <is>
          <t>A_HB_R2_UP_COMMON__stat_value</t>
        </is>
      </c>
      <c r="FJ5" s="8" t="inlineStr">
        <is>
          <t>A_HB_R2_UP_COMMON__lot_exclusion_reason</t>
        </is>
      </c>
      <c r="FK5" s="8" t="inlineStr">
        <is>
          <t>A_HB_TAUY_DN_COMMON__include_in_lot_stats</t>
        </is>
      </c>
      <c r="FL5" s="8" t="inlineStr">
        <is>
          <t>A_HB_TAUY_DN_COMMON__stat_value</t>
        </is>
      </c>
      <c r="FM5" s="8" t="inlineStr">
        <is>
          <t>A_HB_TAUY_DN_COMMON__lot_exclusion_reason</t>
        </is>
      </c>
      <c r="FN5" s="8" t="inlineStr">
        <is>
          <t>A_HB_K_DN_COMMON__include_in_lot_stats</t>
        </is>
      </c>
      <c r="FO5" s="8" t="inlineStr">
        <is>
          <t>A_HB_K_DN_COMMON__stat_value</t>
        </is>
      </c>
      <c r="FP5" s="8" t="inlineStr">
        <is>
          <t>A_HB_K_DN_COMMON__lot_exclusion_reason</t>
        </is>
      </c>
      <c r="FQ5" s="8" t="inlineStr">
        <is>
          <t>A_HB_N_DN_COMMON__include_in_lot_stats</t>
        </is>
      </c>
      <c r="FR5" s="8" t="inlineStr">
        <is>
          <t>A_HB_N_DN_COMMON__stat_value</t>
        </is>
      </c>
      <c r="FS5" s="8" t="inlineStr">
        <is>
          <t>A_HB_N_DN_COMMON__lot_exclusion_reason</t>
        </is>
      </c>
      <c r="FT5" s="8" t="inlineStr">
        <is>
          <t>A_HB_R2_DN_COMMON__include_in_lot_stats</t>
        </is>
      </c>
      <c r="FU5" s="8" t="inlineStr">
        <is>
          <t>A_HB_R2_DN_COMMON__stat_value</t>
        </is>
      </c>
      <c r="FV5" s="8" t="inlineStr">
        <is>
          <t>A_HB_R2_DN_COMMON__lot_exclusion_reason</t>
        </is>
      </c>
      <c r="FW5" s="8" t="inlineStr">
        <is>
          <t>A_HB_TAUY_RATIO_COMMON__include_in_lot_stats</t>
        </is>
      </c>
      <c r="FX5" s="8" t="inlineStr">
        <is>
          <t>A_HB_TAUY_RATIO_COMMON__stat_value</t>
        </is>
      </c>
      <c r="FY5" s="8" t="inlineStr">
        <is>
          <t>A_HB_TAUY_RATIO_COMMON__lot_exclusion_reason</t>
        </is>
      </c>
      <c r="FZ5" s="8" t="inlineStr">
        <is>
          <t>A_STARTUP_PLATEAU_UP__include_in_lot_stats</t>
        </is>
      </c>
      <c r="GA5" s="8" t="inlineStr">
        <is>
          <t>A_STARTUP_PLATEAU_UP__stat_value</t>
        </is>
      </c>
      <c r="GB5" s="8" t="inlineStr">
        <is>
          <t>A_STARTUP_PLATEAU_UP__lot_exclusion_reason</t>
        </is>
      </c>
      <c r="GC5" s="8" t="inlineStr">
        <is>
          <t>A_POST_SHEAR_PLATEAU__include_in_lot_stats</t>
        </is>
      </c>
      <c r="GD5" s="8" t="inlineStr">
        <is>
          <t>A_POST_SHEAR_PLATEAU__stat_value</t>
        </is>
      </c>
      <c r="GE5" s="8" t="inlineStr">
        <is>
          <t>A_POST_SHEAR_PLATEAU__lot_exclusion_reason</t>
        </is>
      </c>
      <c r="GF5" s="8" t="inlineStr">
        <is>
          <t>A_PLATEAU_RETENTION__include_in_lot_stats</t>
        </is>
      </c>
      <c r="GG5" s="8" t="inlineStr">
        <is>
          <t>A_PLATEAU_RETENTION__stat_value</t>
        </is>
      </c>
      <c r="GH5" s="8" t="inlineStr">
        <is>
          <t>A_PLATEAU_RETENTION__lot_exclusion_reason</t>
        </is>
      </c>
      <c r="GI5" s="8" t="inlineStr">
        <is>
          <t>A_TQ_L__include_in_lot_stats</t>
        </is>
      </c>
      <c r="GJ5" s="8" t="inlineStr">
        <is>
          <t>A_TQ_L__stat_value</t>
        </is>
      </c>
      <c r="GK5" s="8" t="inlineStr">
        <is>
          <t>A_TQ_L__lot_exclusion_reason</t>
        </is>
      </c>
      <c r="GL5" s="8" t="inlineStr">
        <is>
          <t>A_RES_L__include_in_lot_stats</t>
        </is>
      </c>
      <c r="GM5" s="8" t="inlineStr">
        <is>
          <t>A_RES_L__stat_value</t>
        </is>
      </c>
      <c r="GN5" s="8" t="inlineStr">
        <is>
          <t>A_RES_L__lot_exclusion_reason</t>
        </is>
      </c>
      <c r="GO5" s="8" t="inlineStr">
        <is>
          <t>A_DUL_FLOOR__include_in_lot_stats</t>
        </is>
      </c>
      <c r="GP5" s="8" t="inlineStr">
        <is>
          <t>A_DUL_FLOOR__stat_value</t>
        </is>
      </c>
      <c r="GQ5" s="8" t="inlineStr">
        <is>
          <t>A_DUL_FLOOR__lot_exclusion_reason</t>
        </is>
      </c>
      <c r="GR5" s="8" t="inlineStr">
        <is>
          <t>A_EQ_DRIFT_MAX__include_in_lot_stats</t>
        </is>
      </c>
      <c r="GS5" s="8" t="inlineStr">
        <is>
          <t>A_EQ_DRIFT_MAX__stat_value</t>
        </is>
      </c>
      <c r="GT5" s="8" t="inlineStr">
        <is>
          <t>A_EQ_DRIFT_MAX__lot_exclusion_reason</t>
        </is>
      </c>
      <c r="GU5" s="8" t="inlineStr">
        <is>
          <t>A_TEMP_MEAN__include_in_lot_stats</t>
        </is>
      </c>
      <c r="GV5" s="8" t="inlineStr">
        <is>
          <t>A_TEMP_MEAN__stat_value</t>
        </is>
      </c>
      <c r="GW5" s="8" t="inlineStr">
        <is>
          <t>A_TEMP_MEAN__lot_exclusion_reason</t>
        </is>
      </c>
      <c r="GX5" s="8" t="inlineStr">
        <is>
          <t>A_TEMP_SPAN__include_in_lot_stats</t>
        </is>
      </c>
      <c r="GY5" s="8" t="inlineStr">
        <is>
          <t>A_TEMP_SPAN__stat_value</t>
        </is>
      </c>
      <c r="GZ5" s="8" t="inlineStr">
        <is>
          <t>A_TEMP_SPAN__lot_exclusion_reason</t>
        </is>
      </c>
      <c r="HA5" s="8" t="inlineStr">
        <is>
          <t>A_N_QUANT__include_in_lot_stats</t>
        </is>
      </c>
      <c r="HB5" s="8" t="inlineStr">
        <is>
          <t>A_N_QUANT__stat_value</t>
        </is>
      </c>
      <c r="HC5" s="8" t="inlineStr">
        <is>
          <t>A_N_QUANT__lot_exclusion_reason</t>
        </is>
      </c>
      <c r="HD5" s="8" t="inlineStr">
        <is>
          <t>A_SSI_FIELD_0P2_2_value</t>
        </is>
      </c>
      <c r="HE5" s="8" t="inlineStr">
        <is>
          <t>A_SSI_FIELD_0P2_2_num_rpm</t>
        </is>
      </c>
      <c r="HF5" s="8" t="inlineStr">
        <is>
          <t>A_SSI_FIELD_0P2_2_den_rpm</t>
        </is>
      </c>
      <c r="HG5" s="8" t="inlineStr">
        <is>
          <t>A_SSI_FIELD_0P2_2_num_step</t>
        </is>
      </c>
      <c r="HH5" s="8" t="inlineStr">
        <is>
          <t>A_SSI_FIELD_0P2_2_den_step</t>
        </is>
      </c>
      <c r="HI5" s="8" t="inlineStr">
        <is>
          <t>A_SSI_FIELD_0P2_2_value_class</t>
        </is>
      </c>
      <c r="HJ5" s="8" t="inlineStr">
        <is>
          <t>A_SSI_QC_0P5_5_value</t>
        </is>
      </c>
      <c r="HK5" s="8" t="inlineStr">
        <is>
          <t>A_SSI_QC_0P5_5_num_rpm</t>
        </is>
      </c>
      <c r="HL5" s="8" t="inlineStr">
        <is>
          <t>A_SSI_QC_0P5_5_den_rpm</t>
        </is>
      </c>
      <c r="HM5" s="8" t="inlineStr">
        <is>
          <t>A_SSI_QC_0P5_5_num_step</t>
        </is>
      </c>
      <c r="HN5" s="8" t="inlineStr">
        <is>
          <t>A_SSI_QC_0P5_5_den_step</t>
        </is>
      </c>
      <c r="HO5" s="8" t="inlineStr">
        <is>
          <t>A_SSI_QC_0P5_5_value_class</t>
        </is>
      </c>
      <c r="HP5" s="8" t="inlineStr">
        <is>
          <t>A_TAU_H_UP_rpm</t>
        </is>
      </c>
      <c r="HQ5" s="8" t="inlineStr">
        <is>
          <t>A_TAU_H_UP_step</t>
        </is>
      </c>
      <c r="HR5" s="8" t="inlineStr">
        <is>
          <t>A_ETA_HIGH_rpm</t>
        </is>
      </c>
      <c r="HS5" s="8" t="inlineStr">
        <is>
          <t>A_ETA_HIGH_step</t>
        </is>
      </c>
      <c r="HT5" s="8" t="inlineStr">
        <is>
          <t>temp_control</t>
        </is>
      </c>
    </row>
    <row r="6">
      <c r="B6" t="inlineStr">
        <is>
          <t>SYN</t>
        </is>
      </c>
      <c r="C6" t="inlineStr">
        <is>
          <t>01</t>
        </is>
      </c>
      <c r="D6" t="inlineStr">
        <is>
          <t>HT-SYN-01.csv</t>
        </is>
      </c>
      <c r="E6" t="inlineStr"/>
      <c r="F6" t="inlineStr">
        <is>
          <t>INCLUSIVE</t>
        </is>
      </c>
      <c r="G6" t="inlineStr">
        <is>
          <t>VALID</t>
        </is>
      </c>
      <c r="H6" s="19" t="n">
        <v>200</v>
      </c>
      <c r="I6" s="19" t="n">
        <v>200</v>
      </c>
      <c r="J6" s="19" t="n">
        <v>200</v>
      </c>
      <c r="K6" s="20" t="n">
        <v>10</v>
      </c>
      <c r="L6" s="20" t="n">
        <v>10</v>
      </c>
      <c r="M6" s="19" t="n"/>
      <c r="N6" s="19" t="n"/>
      <c r="O6" s="19" t="n"/>
      <c r="P6" s="19" t="n">
        <v>0</v>
      </c>
      <c r="Q6" s="19" t="n">
        <v>199.9999997267373</v>
      </c>
      <c r="R6" s="20" t="n">
        <v>2.809774289344664e-07</v>
      </c>
      <c r="S6" s="20" t="n">
        <v>0.05000295281845908</v>
      </c>
      <c r="T6" s="20" t="n"/>
      <c r="U6" s="20" t="n"/>
      <c r="V6" s="19" t="n"/>
      <c r="W6" s="20" t="n"/>
      <c r="X6" s="20" t="n"/>
      <c r="Y6" s="19" t="n"/>
      <c r="Z6" s="19" t="n"/>
      <c r="AA6" s="19" t="n">
        <v>0</v>
      </c>
      <c r="AB6" s="20" t="n">
        <v>25</v>
      </c>
      <c r="AC6" s="21" t="n">
        <v>500000</v>
      </c>
      <c r="AD6" s="21" t="n">
        <v>20000</v>
      </c>
      <c r="AE6" s="21" t="n"/>
      <c r="AF6" s="19" t="n">
        <v>200</v>
      </c>
      <c r="AG6" s="19" t="n"/>
      <c r="AH6" s="19" t="n"/>
      <c r="AI6" s="19" t="n"/>
      <c r="AJ6" s="19" t="n"/>
      <c r="AK6" s="19" t="n"/>
      <c r="AL6" s="19" t="n"/>
      <c r="AM6" s="20" t="n"/>
      <c r="AN6" s="19" t="n"/>
      <c r="AO6" s="20" t="n"/>
      <c r="AP6" s="20" t="n"/>
      <c r="AQ6" s="20" t="n"/>
      <c r="AR6" s="19" t="n"/>
      <c r="AS6" s="20" t="n"/>
      <c r="AT6" s="20" t="n"/>
      <c r="AU6" s="20" t="n"/>
      <c r="AV6" s="19" t="n"/>
      <c r="AW6" s="19" t="n"/>
      <c r="AX6" s="19" t="n"/>
      <c r="AY6" s="19" t="n"/>
      <c r="AZ6" s="19" t="n">
        <v>20</v>
      </c>
      <c r="BA6" s="19" t="n">
        <v>0.5</v>
      </c>
      <c r="BB6" s="19" t="n">
        <v>50</v>
      </c>
      <c r="BC6" s="19" t="n">
        <v>3.396218997857658e-14</v>
      </c>
      <c r="BD6" s="19" t="n">
        <v>25</v>
      </c>
      <c r="BE6" s="19" t="n">
        <v>0</v>
      </c>
      <c r="BF6" s="22" t="n">
        <v>10</v>
      </c>
      <c r="BG6" t="n">
        <v>1</v>
      </c>
      <c r="BH6" t="n">
        <v>200</v>
      </c>
      <c r="BI6" t="inlineStr"/>
      <c r="BJ6" t="n">
        <v>1</v>
      </c>
      <c r="BK6" t="n">
        <v>200</v>
      </c>
      <c r="BL6" t="inlineStr"/>
      <c r="BM6" t="n">
        <v>1</v>
      </c>
      <c r="BN6" t="n">
        <v>200</v>
      </c>
      <c r="BO6" t="inlineStr"/>
      <c r="BP6" t="n">
        <v>1</v>
      </c>
      <c r="BQ6" t="n">
        <v>10</v>
      </c>
      <c r="BR6" t="inlineStr"/>
      <c r="BS6" t="n">
        <v>1</v>
      </c>
      <c r="BT6" t="n">
        <v>10</v>
      </c>
      <c r="BU6" t="inlineStr"/>
      <c r="BV6" t="n">
        <v>0</v>
      </c>
      <c r="BX6" t="inlineStr">
        <is>
          <t>non-finite</t>
        </is>
      </c>
      <c r="BY6" t="n">
        <v>0</v>
      </c>
      <c r="CA6" t="inlineStr">
        <is>
          <t>non-finite</t>
        </is>
      </c>
      <c r="CB6" t="n">
        <v>0</v>
      </c>
      <c r="CD6" t="inlineStr">
        <is>
          <t>non-finite</t>
        </is>
      </c>
      <c r="CE6" t="n">
        <v>1</v>
      </c>
      <c r="CF6" t="n">
        <v>0</v>
      </c>
      <c r="CG6" t="inlineStr"/>
      <c r="CH6" t="n">
        <v>1</v>
      </c>
      <c r="CI6" t="n">
        <v>199.9999997267373</v>
      </c>
      <c r="CJ6" t="inlineStr"/>
      <c r="CK6" t="n">
        <v>1</v>
      </c>
      <c r="CL6" t="n">
        <v>2.809774289344664e-07</v>
      </c>
      <c r="CM6" t="inlineStr"/>
      <c r="CN6" t="n">
        <v>1</v>
      </c>
      <c r="CO6" t="n">
        <v>0.05000295281845908</v>
      </c>
      <c r="CP6" t="inlineStr"/>
      <c r="CQ6" t="n">
        <v>0</v>
      </c>
      <c r="CS6" t="inlineStr">
        <is>
          <t>non-finite</t>
        </is>
      </c>
      <c r="CT6" t="n">
        <v>0</v>
      </c>
      <c r="CV6" t="inlineStr">
        <is>
          <t>non-finite</t>
        </is>
      </c>
      <c r="CW6" t="n">
        <v>0</v>
      </c>
      <c r="CY6" t="inlineStr">
        <is>
          <t>non-finite</t>
        </is>
      </c>
      <c r="CZ6" t="n">
        <v>0</v>
      </c>
      <c r="DB6" t="inlineStr">
        <is>
          <t>non-finite</t>
        </is>
      </c>
      <c r="DC6" t="n">
        <v>0</v>
      </c>
      <c r="DE6" t="inlineStr">
        <is>
          <t>non-finite</t>
        </is>
      </c>
      <c r="DF6" t="n">
        <v>0</v>
      </c>
      <c r="DH6" t="inlineStr">
        <is>
          <t>non-finite</t>
        </is>
      </c>
      <c r="DI6" t="n">
        <v>0</v>
      </c>
      <c r="DK6" t="inlineStr">
        <is>
          <t>non-finite</t>
        </is>
      </c>
      <c r="DL6" t="n">
        <v>1</v>
      </c>
      <c r="DM6" t="n">
        <v>0</v>
      </c>
      <c r="DN6" t="inlineStr"/>
      <c r="DO6" t="n">
        <v>1</v>
      </c>
      <c r="DP6" t="n">
        <v>25</v>
      </c>
      <c r="DQ6" t="inlineStr"/>
      <c r="DR6" t="n">
        <v>1</v>
      </c>
      <c r="DS6" t="n">
        <v>500000</v>
      </c>
      <c r="DT6" t="inlineStr"/>
      <c r="DU6" t="n">
        <v>1</v>
      </c>
      <c r="DV6" t="n">
        <v>20000</v>
      </c>
      <c r="DW6" t="inlineStr"/>
      <c r="DX6" t="n">
        <v>0</v>
      </c>
      <c r="DZ6" t="inlineStr">
        <is>
          <t>non-finite</t>
        </is>
      </c>
      <c r="EA6" t="n">
        <v>1</v>
      </c>
      <c r="EB6" t="n">
        <v>200</v>
      </c>
      <c r="EC6" t="inlineStr"/>
      <c r="ED6" t="n">
        <v>0</v>
      </c>
      <c r="EF6" t="inlineStr">
        <is>
          <t>non-finite</t>
        </is>
      </c>
      <c r="EG6" t="n">
        <v>0</v>
      </c>
      <c r="EI6" t="inlineStr">
        <is>
          <t>non-finite</t>
        </is>
      </c>
      <c r="EJ6" t="n">
        <v>0</v>
      </c>
      <c r="EL6" t="inlineStr">
        <is>
          <t>non-finite</t>
        </is>
      </c>
      <c r="EM6" t="n">
        <v>0</v>
      </c>
      <c r="EO6" t="inlineStr">
        <is>
          <t>non-finite</t>
        </is>
      </c>
      <c r="EP6" t="n">
        <v>0</v>
      </c>
      <c r="ER6" t="inlineStr">
        <is>
          <t>non-finite</t>
        </is>
      </c>
      <c r="ES6" t="n">
        <v>0</v>
      </c>
      <c r="EU6" t="inlineStr">
        <is>
          <t>non-finite</t>
        </is>
      </c>
      <c r="EV6" t="n">
        <v>0</v>
      </c>
      <c r="EX6" t="inlineStr">
        <is>
          <t>non-finite</t>
        </is>
      </c>
      <c r="EY6" t="n">
        <v>0</v>
      </c>
      <c r="FA6" t="inlineStr">
        <is>
          <t>non-finite</t>
        </is>
      </c>
      <c r="FB6" t="n">
        <v>0</v>
      </c>
      <c r="FD6" t="inlineStr">
        <is>
          <t>non-finite</t>
        </is>
      </c>
      <c r="FE6" t="n">
        <v>0</v>
      </c>
      <c r="FG6" t="inlineStr">
        <is>
          <t>non-finite</t>
        </is>
      </c>
      <c r="FH6" t="n">
        <v>0</v>
      </c>
      <c r="FJ6" t="inlineStr">
        <is>
          <t>non-finite</t>
        </is>
      </c>
      <c r="FK6" t="n">
        <v>0</v>
      </c>
      <c r="FM6" t="inlineStr">
        <is>
          <t>non-finite</t>
        </is>
      </c>
      <c r="FN6" t="n">
        <v>0</v>
      </c>
      <c r="FP6" t="inlineStr">
        <is>
          <t>non-finite</t>
        </is>
      </c>
      <c r="FQ6" t="n">
        <v>0</v>
      </c>
      <c r="FS6" t="inlineStr">
        <is>
          <t>non-finite</t>
        </is>
      </c>
      <c r="FT6" t="n">
        <v>0</v>
      </c>
      <c r="FV6" t="inlineStr">
        <is>
          <t>non-finite</t>
        </is>
      </c>
      <c r="FW6" t="n">
        <v>0</v>
      </c>
      <c r="FY6" t="inlineStr">
        <is>
          <t>non-finite</t>
        </is>
      </c>
      <c r="FZ6" t="n">
        <v>0</v>
      </c>
      <c r="GB6" t="inlineStr">
        <is>
          <t>non-finite</t>
        </is>
      </c>
      <c r="GC6" t="n">
        <v>0</v>
      </c>
      <c r="GE6" t="inlineStr">
        <is>
          <t>non-finite</t>
        </is>
      </c>
      <c r="GF6" t="n">
        <v>0</v>
      </c>
      <c r="GH6" t="inlineStr">
        <is>
          <t>non-finite</t>
        </is>
      </c>
      <c r="GI6" t="n">
        <v>1</v>
      </c>
      <c r="GJ6" t="n">
        <v>20</v>
      </c>
      <c r="GK6" t="inlineStr"/>
      <c r="GL6" t="n">
        <v>1</v>
      </c>
      <c r="GM6" t="n">
        <v>0.5</v>
      </c>
      <c r="GN6" t="inlineStr"/>
      <c r="GO6" t="n">
        <v>1</v>
      </c>
      <c r="GP6" t="n">
        <v>50</v>
      </c>
      <c r="GQ6" t="inlineStr"/>
      <c r="GR6" t="n">
        <v>1</v>
      </c>
      <c r="GS6" t="n">
        <v>3.396218997857658e-14</v>
      </c>
      <c r="GT6" t="inlineStr"/>
      <c r="GU6" t="n">
        <v>1</v>
      </c>
      <c r="GV6" t="n">
        <v>25</v>
      </c>
      <c r="GW6" t="inlineStr"/>
      <c r="GX6" t="n">
        <v>1</v>
      </c>
      <c r="GY6" t="n">
        <v>0</v>
      </c>
      <c r="GZ6" t="inlineStr"/>
      <c r="HA6" t="n">
        <v>1</v>
      </c>
      <c r="HB6" t="n">
        <v>10</v>
      </c>
      <c r="HC6" t="inlineStr"/>
      <c r="HD6" t="n">
        <v>10</v>
      </c>
      <c r="HE6" t="n">
        <v>0.2</v>
      </c>
      <c r="HF6" t="n">
        <v>2</v>
      </c>
      <c r="HG6" t="inlineStr">
        <is>
          <t>S2</t>
        </is>
      </c>
      <c r="HH6" t="inlineStr">
        <is>
          <t>S8</t>
        </is>
      </c>
      <c r="HI6" t="inlineStr">
        <is>
          <t>strict 정량값</t>
        </is>
      </c>
      <c r="HJ6" t="n">
        <v>10</v>
      </c>
      <c r="HK6" t="n">
        <v>0.5</v>
      </c>
      <c r="HL6" t="n">
        <v>5</v>
      </c>
      <c r="HM6" t="inlineStr">
        <is>
          <t>S4</t>
        </is>
      </c>
      <c r="HN6" t="inlineStr">
        <is>
          <t>S11</t>
        </is>
      </c>
      <c r="HO6" t="inlineStr">
        <is>
          <t>strict 정량값</t>
        </is>
      </c>
      <c r="HP6" t="n">
        <v>5</v>
      </c>
      <c r="HQ6" t="inlineStr">
        <is>
          <t>S11</t>
        </is>
      </c>
      <c r="HR6" t="n">
        <v>5</v>
      </c>
      <c r="HS6" t="inlineStr">
        <is>
          <t>S11</t>
        </is>
      </c>
      <c r="HT6" t="inlineStr">
        <is>
          <t>No</t>
        </is>
      </c>
    </row>
  </sheetData>
  <mergeCells count="3">
    <mergeCell ref="B3:P3"/>
    <mergeCell ref="B2:P2"/>
    <mergeCell ref="B4:P4"/>
  </mergeCells>
  <hyperlinks>
    <hyperlink ref="B1" location="'Lot_QC_Summary'!B2"/>
    <hyperlink ref="C1" location="'QC_Dictionary'!B2"/>
    <hyperlink ref="D1" location="'A_Replicates'!B2"/>
    <hyperlink ref="E1" location="'B_Replicates'!B2"/>
    <hyperlink ref="F1" location="'Density_Replicates'!B2"/>
    <hyperlink ref="G1" location="'A_Replicates_INCL'!B2"/>
    <hyperlink ref="H1" location="'A_Replicates_EXC'!B2"/>
    <hyperlink ref="I1" location="'Metric_Statistics'!B2"/>
    <hyperlink ref="J1" location="'A_Step_Replicates'!B2"/>
    <hyperlink ref="K1" location="'A_Step_Statistics'!B2"/>
    <hyperlink ref="L1" location="'Replicate_Flags'!B2"/>
    <hyperlink ref="M1" location="'Traceability'!B2"/>
  </hyperlink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AZ5"/>
  <sheetViews>
    <sheetView showGridLines="0" workbookViewId="0">
      <pane xSplit="4" ySplit="5" topLeftCell="E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3" customWidth="1" min="8" max="8"/>
    <col width="14" customWidth="1" min="9" max="9"/>
    <col width="11" customWidth="1" min="10" max="10"/>
    <col width="11" customWidth="1" min="11" max="11"/>
    <col width="11" customWidth="1" min="12" max="12"/>
    <col width="12" customWidth="1" min="13" max="13"/>
    <col width="11" customWidth="1" min="14" max="14"/>
    <col width="11" customWidth="1" min="15" max="15"/>
    <col width="12" customWidth="1" min="16" max="16"/>
    <col width="14" customWidth="1" min="17" max="17"/>
    <col width="14" customWidth="1" min="18" max="18"/>
    <col hidden="1" width="24" customWidth="1" min="19" max="19"/>
    <col hidden="1" width="24" customWidth="1" min="20" max="20"/>
    <col hidden="1" width="24" customWidth="1" min="21" max="21"/>
    <col hidden="1" width="24" customWidth="1" min="22" max="22"/>
    <col hidden="1" width="24" customWidth="1" min="23" max="23"/>
    <col hidden="1" width="24" customWidth="1" min="24" max="24"/>
    <col hidden="1" width="24" customWidth="1" min="25" max="25"/>
    <col hidden="1" width="20" customWidth="1" min="26" max="26"/>
    <col hidden="1" width="24" customWidth="1" min="27" max="27"/>
    <col hidden="1" width="24" customWidth="1" min="28" max="28"/>
    <col hidden="1" width="21" customWidth="1" min="29" max="29"/>
    <col hidden="1" width="24" customWidth="1" min="30" max="30"/>
    <col hidden="1" width="24" customWidth="1" min="31" max="31"/>
    <col hidden="1" width="20" customWidth="1" min="32" max="32"/>
    <col hidden="1" width="24" customWidth="1" min="33" max="33"/>
    <col hidden="1" width="24" customWidth="1" min="34" max="34"/>
    <col hidden="1" width="24" customWidth="1" min="35" max="35"/>
    <col hidden="1" width="24" customWidth="1" min="36" max="36"/>
    <col hidden="1" width="24" customWidth="1" min="37" max="37"/>
    <col hidden="1" width="20" customWidth="1" min="38" max="38"/>
    <col hidden="1" width="24" customWidth="1" min="39" max="39"/>
    <col hidden="1" width="24" customWidth="1" min="40" max="40"/>
    <col hidden="1" width="21" customWidth="1" min="41" max="41"/>
    <col hidden="1" width="24" customWidth="1" min="42" max="42"/>
    <col hidden="1" width="24" customWidth="1" min="43" max="43"/>
    <col hidden="1" width="24" customWidth="1" min="44" max="44"/>
    <col hidden="1" width="24" customWidth="1" min="45" max="45"/>
    <col hidden="1" width="24" customWidth="1" min="46" max="46"/>
    <col hidden="1" width="24" customWidth="1" min="47" max="47"/>
    <col hidden="1" width="24" customWidth="1" min="48" max="48"/>
    <col hidden="1" width="24" customWidth="1" min="49" max="49"/>
    <col hidden="1" width="24" customWidth="1" min="50" max="50"/>
    <col hidden="1" width="24" customWidth="1" min="51" max="51"/>
    <col width="15" customWidth="1" min="52" max="52"/>
  </cols>
  <sheetData>
    <row r="1">
      <c r="B1" s="1" t="inlineStr">
        <is>
          <t>Lot_QC_Summary</t>
        </is>
      </c>
      <c r="C1" s="1" t="inlineStr">
        <is>
          <t>QC_Dictionary</t>
        </is>
      </c>
      <c r="D1" s="1" t="inlineStr">
        <is>
          <t>A_Replicates</t>
        </is>
      </c>
      <c r="E1" s="1" t="inlineStr">
        <is>
          <t>B_Replicates</t>
        </is>
      </c>
      <c r="F1" s="1" t="inlineStr">
        <is>
          <t>Density_Replicates</t>
        </is>
      </c>
      <c r="G1" s="1" t="inlineStr">
        <is>
          <t>A_Replicates_INCL</t>
        </is>
      </c>
      <c r="H1" s="1" t="inlineStr">
        <is>
          <t>A_Replicates_EXC</t>
        </is>
      </c>
      <c r="I1" s="1" t="inlineStr">
        <is>
          <t>Metric_Statistics</t>
        </is>
      </c>
      <c r="J1" s="1" t="inlineStr">
        <is>
          <t>A_Step_Replicates</t>
        </is>
      </c>
      <c r="K1" s="1" t="inlineStr">
        <is>
          <t>A_Step_Statistics</t>
        </is>
      </c>
      <c r="L1" s="1" t="inlineStr">
        <is>
          <t>Replicate_Flags</t>
        </is>
      </c>
      <c r="M1" s="1" t="inlineStr">
        <is>
          <t>Traceability</t>
        </is>
      </c>
    </row>
    <row r="2" ht="28" customHeight="1">
      <c r="B2" s="2" t="inlineStr">
        <is>
          <t>B_Replicates — 반복별 QC 지표 원값</t>
        </is>
      </c>
    </row>
    <row r="3" ht="30" customHeight="1">
      <c r="B3" s="3" t="inlineStr">
        <is>
          <t>Python 공식 계산값(숫자형). 공란 = 유효 조건 미충족(사유는 Replicate_Flags). 이 시트 값을 수정하면 통계가 자동 재계산됩니다.</t>
        </is>
      </c>
    </row>
    <row r="4" ht="30" customHeight="1">
      <c r="B4" s="4" t="inlineStr">
        <is>
          <t>POLICY INCLUSIVE — accepted holds 30,45,60 s, 범위 밖 Torque 점 inclusive 포함. EXCEPTION·CENSORED 값은 표준 60 s Lot 통계·추세·규격 설정에 혼용 금지</t>
        </is>
      </c>
    </row>
    <row r="5" ht="28" customHeight="1">
      <c r="B5" s="8" t="inlineStr">
        <is>
          <t>lot</t>
        </is>
      </c>
      <c r="C5" s="8" t="inlineStr">
        <is>
          <t>repeat</t>
        </is>
      </c>
      <c r="D5" s="8" t="inlineStr">
        <is>
          <t>file</t>
        </is>
      </c>
      <c r="E5" s="8" t="inlineStr">
        <is>
          <t>test_start</t>
        </is>
      </c>
      <c r="F5" s="8" t="inlineStr">
        <is>
          <t>route</t>
        </is>
      </c>
      <c r="G5" s="8" t="inlineStr">
        <is>
          <t>data_qc</t>
        </is>
      </c>
      <c r="H5" s="8" t="inlineStr">
        <is>
          <t>B_ETA_BASE</t>
        </is>
      </c>
      <c r="I5" s="8" t="inlineStr">
        <is>
          <t>B_BRK_DECAY</t>
        </is>
      </c>
      <c r="J5" s="8" t="inlineStr">
        <is>
          <t>B_R60</t>
        </is>
      </c>
      <c r="K5" s="8" t="inlineStr">
        <is>
          <t>B_R300</t>
        </is>
      </c>
      <c r="L5" s="8" t="inlineStr">
        <is>
          <t>B_T90</t>
        </is>
      </c>
      <c r="M5" s="8" t="inlineStr">
        <is>
          <t>B_ETA_BRK</t>
        </is>
      </c>
      <c r="N5" s="8" t="inlineStr">
        <is>
          <t>B_R10</t>
        </is>
      </c>
      <c r="O5" s="8" t="inlineStr">
        <is>
          <t>B_R900</t>
        </is>
      </c>
      <c r="P5" s="8" t="inlineStr">
        <is>
          <t>B_TQ_BASE</t>
        </is>
      </c>
      <c r="Q5" s="8" t="inlineStr">
        <is>
          <t>B_REC_FLOOR</t>
        </is>
      </c>
      <c r="R5" s="8" t="inlineStr">
        <is>
          <t>B_REC_VALID</t>
        </is>
      </c>
      <c r="S5" s="8" t="inlineStr">
        <is>
          <t>B_ETA_BASE__include_in_lot_stats</t>
        </is>
      </c>
      <c r="T5" s="8" t="inlineStr">
        <is>
          <t>B_ETA_BASE__stat_value</t>
        </is>
      </c>
      <c r="U5" s="8" t="inlineStr">
        <is>
          <t>B_ETA_BASE__lot_exclusion_reason</t>
        </is>
      </c>
      <c r="V5" s="8" t="inlineStr">
        <is>
          <t>B_BRK_DECAY__include_in_lot_stats</t>
        </is>
      </c>
      <c r="W5" s="8" t="inlineStr">
        <is>
          <t>B_BRK_DECAY__stat_value</t>
        </is>
      </c>
      <c r="X5" s="8" t="inlineStr">
        <is>
          <t>B_BRK_DECAY__lot_exclusion_reason</t>
        </is>
      </c>
      <c r="Y5" s="8" t="inlineStr">
        <is>
          <t>B_R60__include_in_lot_stats</t>
        </is>
      </c>
      <c r="Z5" s="8" t="inlineStr">
        <is>
          <t>B_R60__stat_value</t>
        </is>
      </c>
      <c r="AA5" s="8" t="inlineStr">
        <is>
          <t>B_R60__lot_exclusion_reason</t>
        </is>
      </c>
      <c r="AB5" s="8" t="inlineStr">
        <is>
          <t>B_R300__include_in_lot_stats</t>
        </is>
      </c>
      <c r="AC5" s="8" t="inlineStr">
        <is>
          <t>B_R300__stat_value</t>
        </is>
      </c>
      <c r="AD5" s="8" t="inlineStr">
        <is>
          <t>B_R300__lot_exclusion_reason</t>
        </is>
      </c>
      <c r="AE5" s="8" t="inlineStr">
        <is>
          <t>B_T90__include_in_lot_stats</t>
        </is>
      </c>
      <c r="AF5" s="8" t="inlineStr">
        <is>
          <t>B_T90__stat_value</t>
        </is>
      </c>
      <c r="AG5" s="8" t="inlineStr">
        <is>
          <t>B_T90__lot_exclusion_reason</t>
        </is>
      </c>
      <c r="AH5" s="8" t="inlineStr">
        <is>
          <t>B_ETA_BRK__include_in_lot_stats</t>
        </is>
      </c>
      <c r="AI5" s="8" t="inlineStr">
        <is>
          <t>B_ETA_BRK__stat_value</t>
        </is>
      </c>
      <c r="AJ5" s="8" t="inlineStr">
        <is>
          <t>B_ETA_BRK__lot_exclusion_reason</t>
        </is>
      </c>
      <c r="AK5" s="8" t="inlineStr">
        <is>
          <t>B_R10__include_in_lot_stats</t>
        </is>
      </c>
      <c r="AL5" s="8" t="inlineStr">
        <is>
          <t>B_R10__stat_value</t>
        </is>
      </c>
      <c r="AM5" s="8" t="inlineStr">
        <is>
          <t>B_R10__lot_exclusion_reason</t>
        </is>
      </c>
      <c r="AN5" s="8" t="inlineStr">
        <is>
          <t>B_R900__include_in_lot_stats</t>
        </is>
      </c>
      <c r="AO5" s="8" t="inlineStr">
        <is>
          <t>B_R900__stat_value</t>
        </is>
      </c>
      <c r="AP5" s="8" t="inlineStr">
        <is>
          <t>B_R900__lot_exclusion_reason</t>
        </is>
      </c>
      <c r="AQ5" s="8" t="inlineStr">
        <is>
          <t>B_TQ_BASE__include_in_lot_stats</t>
        </is>
      </c>
      <c r="AR5" s="8" t="inlineStr">
        <is>
          <t>B_TQ_BASE__stat_value</t>
        </is>
      </c>
      <c r="AS5" s="8" t="inlineStr">
        <is>
          <t>B_TQ_BASE__lot_exclusion_reason</t>
        </is>
      </c>
      <c r="AT5" s="8" t="inlineStr">
        <is>
          <t>B_REC_FLOOR__include_in_lot_stats</t>
        </is>
      </c>
      <c r="AU5" s="8" t="inlineStr">
        <is>
          <t>B_REC_FLOOR__stat_value</t>
        </is>
      </c>
      <c r="AV5" s="8" t="inlineStr">
        <is>
          <t>B_REC_FLOOR__lot_exclusion_reason</t>
        </is>
      </c>
      <c r="AW5" s="8" t="inlineStr">
        <is>
          <t>B_REC_VALID__include_in_lot_stats</t>
        </is>
      </c>
      <c r="AX5" s="8" t="inlineStr">
        <is>
          <t>B_REC_VALID__stat_value</t>
        </is>
      </c>
      <c r="AY5" s="8" t="inlineStr">
        <is>
          <t>B_REC_VALID__lot_exclusion_reason</t>
        </is>
      </c>
      <c r="AZ5" s="8" t="inlineStr">
        <is>
          <t>temp_control</t>
        </is>
      </c>
    </row>
  </sheetData>
  <mergeCells count="3">
    <mergeCell ref="B3:P3"/>
    <mergeCell ref="B2:P2"/>
    <mergeCell ref="B4:P4"/>
  </mergeCells>
  <hyperlinks>
    <hyperlink ref="B1" location="'Lot_QC_Summary'!B2"/>
    <hyperlink ref="C1" location="'QC_Dictionary'!B2"/>
    <hyperlink ref="D1" location="'A_Replicates'!B2"/>
    <hyperlink ref="E1" location="'B_Replicates'!B2"/>
    <hyperlink ref="F1" location="'Density_Replicates'!B2"/>
    <hyperlink ref="G1" location="'A_Replicates_INCL'!B2"/>
    <hyperlink ref="H1" location="'A_Replicates_EXC'!B2"/>
    <hyperlink ref="I1" location="'Metric_Statistics'!B2"/>
    <hyperlink ref="J1" location="'A_Step_Replicates'!B2"/>
    <hyperlink ref="K1" location="'A_Step_Statistics'!B2"/>
    <hyperlink ref="L1" location="'Replicate_Flags'!B2"/>
    <hyperlink ref="M1" location="'Traceability'!B2"/>
  </hyperlink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W5"/>
  <sheetViews>
    <sheetView showGridLines="0" workbookViewId="0">
      <pane xSplit="4" ySplit="5" topLeftCell="E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hidden="1" width="24" customWidth="1" min="10" max="10"/>
    <col hidden="1" width="22" customWidth="1" min="11" max="11"/>
    <col hidden="1" width="24" customWidth="1" min="12" max="12"/>
    <col hidden="1" width="24" customWidth="1" min="13" max="13"/>
    <col hidden="1" width="21" customWidth="1" min="14" max="14"/>
    <col hidden="1" width="24" customWidth="1" min="15" max="15"/>
    <col width="17" customWidth="1" min="16" max="16"/>
    <col width="11" customWidth="1" min="17" max="17"/>
    <col width="15" customWidth="1" min="18" max="18"/>
    <col width="16" customWidth="1" min="19" max="19"/>
    <col width="12" customWidth="1" min="20" max="20"/>
    <col width="17" customWidth="1" min="21" max="21"/>
    <col width="15" customWidth="1" min="22" max="22"/>
    <col width="11" customWidth="1" min="23" max="23"/>
  </cols>
  <sheetData>
    <row r="1">
      <c r="B1" s="1" t="inlineStr">
        <is>
          <t>Lot_QC_Summary</t>
        </is>
      </c>
      <c r="C1" s="1" t="inlineStr">
        <is>
          <t>QC_Dictionary</t>
        </is>
      </c>
      <c r="D1" s="1" t="inlineStr">
        <is>
          <t>A_Replicates</t>
        </is>
      </c>
      <c r="E1" s="1" t="inlineStr">
        <is>
          <t>B_Replicates</t>
        </is>
      </c>
      <c r="F1" s="1" t="inlineStr">
        <is>
          <t>Density_Replicates</t>
        </is>
      </c>
      <c r="G1" s="1" t="inlineStr">
        <is>
          <t>A_Replicates_INCL</t>
        </is>
      </c>
      <c r="H1" s="1" t="inlineStr">
        <is>
          <t>A_Replicates_EXC</t>
        </is>
      </c>
      <c r="I1" s="1" t="inlineStr">
        <is>
          <t>Metric_Statistics</t>
        </is>
      </c>
      <c r="J1" s="1" t="inlineStr">
        <is>
          <t>A_Step_Replicates</t>
        </is>
      </c>
      <c r="K1" s="1" t="inlineStr">
        <is>
          <t>A_Step_Statistics</t>
        </is>
      </c>
      <c r="L1" s="1" t="inlineStr">
        <is>
          <t>Replicate_Flags</t>
        </is>
      </c>
      <c r="M1" s="1" t="inlineStr">
        <is>
          <t>Traceability</t>
        </is>
      </c>
    </row>
    <row r="2" ht="28" customHeight="1">
      <c r="B2" s="2" t="inlineStr">
        <is>
          <t>Density_Replicates — 반복별 QC 지표 원값</t>
        </is>
      </c>
    </row>
    <row r="3" ht="30" customHeight="1">
      <c r="B3" s="3" t="inlineStr">
        <is>
          <t>Python 공식 계산값(숫자형). 공란 = 유효 조건 미충족(사유는 Replicate_Flags). 이 시트 값을 수정하면 통계가 자동 재계산됩니다.</t>
        </is>
      </c>
    </row>
    <row r="4" ht="30" customHeight="1">
      <c r="B4" s="4" t="inlineStr">
        <is>
          <t>POLICY INCLUSIVE — accepted holds 30,45,60 s, 범위 밖 Torque 점 inclusive 포함. EXCEPTION·CENSORED 값은 표준 60 s Lot 통계·추세·규격 설정에 혼용 금지</t>
        </is>
      </c>
    </row>
    <row r="5" ht="28" customHeight="1">
      <c r="B5" s="8" t="inlineStr">
        <is>
          <t>lot</t>
        </is>
      </c>
      <c r="C5" s="8" t="inlineStr">
        <is>
          <t>repeat</t>
        </is>
      </c>
      <c r="D5" s="8" t="inlineStr">
        <is>
          <t>file</t>
        </is>
      </c>
      <c r="E5" s="8" t="inlineStr">
        <is>
          <t>test_start</t>
        </is>
      </c>
      <c r="F5" s="8" t="inlineStr">
        <is>
          <t>route</t>
        </is>
      </c>
      <c r="G5" s="8" t="inlineStr">
        <is>
          <t>data_qc</t>
        </is>
      </c>
      <c r="H5" s="8" t="inlineStr">
        <is>
          <t>D_RHO25</t>
        </is>
      </c>
      <c r="I5" s="8" t="inlineStr">
        <is>
          <t>D_TEMP</t>
        </is>
      </c>
      <c r="J5" s="8" t="inlineStr">
        <is>
          <t>D_RHO25__include_in_lot_stats</t>
        </is>
      </c>
      <c r="K5" s="8" t="inlineStr">
        <is>
          <t>D_RHO25__stat_value</t>
        </is>
      </c>
      <c r="L5" s="8" t="inlineStr">
        <is>
          <t>D_RHO25__lot_exclusion_reason</t>
        </is>
      </c>
      <c r="M5" s="8" t="inlineStr">
        <is>
          <t>D_TEMP__include_in_lot_stats</t>
        </is>
      </c>
      <c r="N5" s="8" t="inlineStr">
        <is>
          <t>D_TEMP__stat_value</t>
        </is>
      </c>
      <c r="O5" s="8" t="inlineStr">
        <is>
          <t>D_TEMP__lot_exclusion_reason</t>
        </is>
      </c>
      <c r="P5" s="8" t="inlineStr">
        <is>
          <t>density_method</t>
        </is>
      </c>
      <c r="Q5" s="8" t="inlineStr">
        <is>
          <t>operator</t>
        </is>
      </c>
      <c r="R5" s="8" t="inlineStr">
        <is>
          <t>mass_empty_g</t>
        </is>
      </c>
      <c r="S5" s="8" t="inlineStr">
        <is>
          <t>mass_filled_g</t>
        </is>
      </c>
      <c r="T5" s="8" t="inlineStr">
        <is>
          <t>volume_mL</t>
        </is>
      </c>
      <c r="U5" s="8" t="inlineStr">
        <is>
          <t>density_direct</t>
        </is>
      </c>
      <c r="V5" s="8" t="inlineStr">
        <is>
          <t>density_calc</t>
        </is>
      </c>
      <c r="W5" s="8" t="inlineStr">
        <is>
          <t>note</t>
        </is>
      </c>
    </row>
  </sheetData>
  <mergeCells count="3">
    <mergeCell ref="B3:I3"/>
    <mergeCell ref="B2:I2"/>
    <mergeCell ref="B4:P4"/>
  </mergeCells>
  <hyperlinks>
    <hyperlink ref="B1" location="'Lot_QC_Summary'!B2"/>
    <hyperlink ref="C1" location="'QC_Dictionary'!B2"/>
    <hyperlink ref="D1" location="'A_Replicates'!B2"/>
    <hyperlink ref="E1" location="'B_Replicates'!B2"/>
    <hyperlink ref="F1" location="'Density_Replicates'!B2"/>
    <hyperlink ref="G1" location="'A_Replicates_INCL'!B2"/>
    <hyperlink ref="H1" location="'A_Replicates_EXC'!B2"/>
    <hyperlink ref="I1" location="'Metric_Statistics'!B2"/>
    <hyperlink ref="J1" location="'A_Step_Replicates'!B2"/>
    <hyperlink ref="K1" location="'A_Step_Statistics'!B2"/>
    <hyperlink ref="L1" location="'Replicate_Flags'!B2"/>
    <hyperlink ref="M1" location="'Traceability'!B2"/>
  </hyperlink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JR6"/>
  <sheetViews>
    <sheetView showGridLines="0" workbookViewId="0">
      <pane xSplit="4" ySplit="5" topLeftCell="E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2" customWidth="1" min="8" max="8"/>
    <col width="12" customWidth="1" min="9" max="9"/>
    <col width="12" customWidth="1" min="10" max="10"/>
    <col width="19" customWidth="1" min="11" max="11"/>
    <col width="16" customWidth="1" min="12" max="12"/>
    <col width="11" customWidth="1" min="13" max="13"/>
    <col width="11" customWidth="1" min="14" max="14"/>
    <col width="11" customWidth="1" min="15" max="15"/>
    <col width="12" customWidth="1" min="16" max="16"/>
    <col width="14" customWidth="1" min="17" max="17"/>
    <col width="11" customWidth="1" min="18" max="18"/>
    <col width="11" customWidth="1" min="19" max="19"/>
    <col width="12" customWidth="1" min="20" max="20"/>
    <col width="12" customWidth="1" min="21" max="21"/>
    <col width="14" customWidth="1" min="22" max="22"/>
    <col width="11" customWidth="1" min="23" max="23"/>
    <col width="11" customWidth="1" min="24" max="24"/>
    <col width="17" customWidth="1" min="25" max="25"/>
    <col width="11" customWidth="1" min="26" max="26"/>
    <col width="11" customWidth="1" min="27" max="27"/>
    <col width="13" customWidth="1" min="28" max="28"/>
    <col width="14" customWidth="1" min="29" max="29"/>
    <col width="12" customWidth="1" min="30" max="30"/>
    <col width="14" customWidth="1" min="31" max="31"/>
    <col width="26" customWidth="1" min="32" max="32"/>
    <col width="26" customWidth="1" min="33" max="33"/>
    <col width="26" customWidth="1" min="34" max="34"/>
    <col width="20" customWidth="1" min="35" max="35"/>
    <col width="19" customWidth="1" min="36" max="36"/>
    <col width="16" customWidth="1" min="37" max="37"/>
    <col width="14" customWidth="1" min="38" max="38"/>
    <col width="13" customWidth="1" min="39" max="39"/>
    <col width="21" customWidth="1" min="40" max="40"/>
    <col width="18" customWidth="1" min="41" max="41"/>
    <col width="18" customWidth="1" min="42" max="42"/>
    <col width="19" customWidth="1" min="43" max="43"/>
    <col width="21" customWidth="1" min="44" max="44"/>
    <col width="18" customWidth="1" min="45" max="45"/>
    <col width="18" customWidth="1" min="46" max="46"/>
    <col width="19" customWidth="1" min="47" max="47"/>
    <col width="24" customWidth="1" min="48" max="48"/>
    <col width="22" customWidth="1" min="49" max="49"/>
    <col width="22" customWidth="1" min="50" max="50"/>
    <col width="21" customWidth="1" min="51" max="51"/>
    <col width="11" customWidth="1" min="52" max="52"/>
    <col width="11" customWidth="1" min="53" max="53"/>
    <col width="13" customWidth="1" min="54" max="54"/>
    <col width="16" customWidth="1" min="55" max="55"/>
    <col width="13" customWidth="1" min="56" max="56"/>
    <col width="13" customWidth="1" min="57" max="57"/>
    <col width="11" customWidth="1" min="58" max="58"/>
    <col hidden="1" width="26" customWidth="1" min="59" max="59"/>
    <col hidden="1" width="24" customWidth="1" min="60" max="60"/>
    <col hidden="1" width="26" customWidth="1" min="61" max="61"/>
    <col hidden="1" width="26" customWidth="1" min="62" max="62"/>
    <col hidden="1" width="24" customWidth="1" min="63" max="63"/>
    <col hidden="1" width="26" customWidth="1" min="64" max="64"/>
    <col hidden="1" width="26" customWidth="1" min="65" max="65"/>
    <col hidden="1" width="24" customWidth="1" min="66" max="66"/>
    <col hidden="1" width="26" customWidth="1" min="67" max="67"/>
    <col hidden="1" width="26" customWidth="1" min="68" max="68"/>
    <col hidden="1" width="26" customWidth="1" min="69" max="69"/>
    <col hidden="1" width="26" customWidth="1" min="70" max="70"/>
    <col hidden="1" width="26" customWidth="1" min="71" max="71"/>
    <col hidden="1" width="26" customWidth="1" min="72" max="72"/>
    <col hidden="1" width="26" customWidth="1" min="73" max="73"/>
    <col hidden="1" width="26" customWidth="1" min="74" max="74"/>
    <col hidden="1" width="20" customWidth="1" min="75" max="75"/>
    <col hidden="1" width="26" customWidth="1" min="76" max="76"/>
    <col hidden="1" width="26" customWidth="1" min="77" max="77"/>
    <col hidden="1" width="20" customWidth="1" min="78" max="78"/>
    <col hidden="1" width="26" customWidth="1" min="79" max="79"/>
    <col hidden="1" width="26" customWidth="1" min="80" max="80"/>
    <col hidden="1" width="23" customWidth="1" min="81" max="81"/>
    <col hidden="1" width="26" customWidth="1" min="82" max="82"/>
    <col hidden="1" width="26" customWidth="1" min="83" max="83"/>
    <col hidden="1" width="24" customWidth="1" min="84" max="84"/>
    <col hidden="1" width="26" customWidth="1" min="85" max="85"/>
    <col hidden="1" width="26" customWidth="1" min="86" max="86"/>
    <col hidden="1" width="26" customWidth="1" min="87" max="87"/>
    <col hidden="1" width="26" customWidth="1" min="88" max="88"/>
    <col hidden="1" width="26" customWidth="1" min="89" max="89"/>
    <col hidden="1" width="23" customWidth="1" min="90" max="90"/>
    <col hidden="1" width="26" customWidth="1" min="91" max="91"/>
    <col hidden="1" width="26" customWidth="1" min="92" max="92"/>
    <col hidden="1" width="23" customWidth="1" min="93" max="93"/>
    <col hidden="1" width="26" customWidth="1" min="94" max="94"/>
    <col hidden="1" width="26" customWidth="1" min="95" max="95"/>
    <col hidden="1" width="24" customWidth="1" min="96" max="96"/>
    <col hidden="1" width="26" customWidth="1" min="97" max="97"/>
    <col hidden="1" width="26" customWidth="1" min="98" max="98"/>
    <col hidden="1" width="24" customWidth="1" min="99" max="99"/>
    <col hidden="1" width="26" customWidth="1" min="100" max="100"/>
    <col hidden="1" width="26" customWidth="1" min="101" max="101"/>
    <col hidden="1" width="26" customWidth="1" min="102" max="102"/>
    <col hidden="1" width="26" customWidth="1" min="103" max="103"/>
    <col hidden="1" width="26" customWidth="1" min="104" max="104"/>
    <col hidden="1" width="23" customWidth="1" min="105" max="105"/>
    <col hidden="1" width="26" customWidth="1" min="106" max="106"/>
    <col hidden="1" width="26" customWidth="1" min="107" max="107"/>
    <col hidden="1" width="23" customWidth="1" min="108" max="108"/>
    <col hidden="1" width="26" customWidth="1" min="109" max="109"/>
    <col hidden="1" width="26" customWidth="1" min="110" max="110"/>
    <col hidden="1" width="26" customWidth="1" min="111" max="111"/>
    <col hidden="1" width="26" customWidth="1" min="112" max="112"/>
    <col hidden="1" width="26" customWidth="1" min="113" max="113"/>
    <col hidden="1" width="19" customWidth="1" min="114" max="114"/>
    <col hidden="1" width="26" customWidth="1" min="115" max="115"/>
    <col hidden="1" width="26" customWidth="1" min="116" max="116"/>
    <col hidden="1" width="21" customWidth="1" min="117" max="117"/>
    <col hidden="1" width="26" customWidth="1" min="118" max="118"/>
    <col hidden="1" width="26" customWidth="1" min="119" max="119"/>
    <col hidden="1" width="25" customWidth="1" min="120" max="120"/>
    <col hidden="1" width="26" customWidth="1" min="121" max="121"/>
    <col hidden="1" width="26" customWidth="1" min="122" max="122"/>
    <col hidden="1" width="26" customWidth="1" min="123" max="123"/>
    <col hidden="1" width="26" customWidth="1" min="124" max="124"/>
    <col hidden="1" width="26" customWidth="1" min="125" max="125"/>
    <col hidden="1" width="24" customWidth="1" min="126" max="126"/>
    <col hidden="1" width="26" customWidth="1" min="127" max="127"/>
    <col hidden="1" width="26" customWidth="1" min="128" max="128"/>
    <col hidden="1" width="26" customWidth="1" min="129" max="129"/>
    <col hidden="1" width="26" customWidth="1" min="130" max="130"/>
    <col hidden="1" width="26" customWidth="1" min="131" max="131"/>
    <col hidden="1" width="26" customWidth="1" min="132" max="132"/>
    <col hidden="1" width="26" customWidth="1" min="133" max="133"/>
    <col hidden="1" width="26" customWidth="1" min="134" max="134"/>
    <col hidden="1" width="26" customWidth="1" min="135" max="135"/>
    <col hidden="1" width="26" customWidth="1" min="136" max="136"/>
    <col hidden="1" width="26" customWidth="1" min="137" max="137"/>
    <col hidden="1" width="26" customWidth="1" min="138" max="138"/>
    <col hidden="1" width="26" customWidth="1" min="139" max="139"/>
    <col hidden="1" width="26" customWidth="1" min="140" max="140"/>
    <col hidden="1" width="26" customWidth="1" min="141" max="141"/>
    <col hidden="1" width="26" customWidth="1" min="142" max="142"/>
    <col hidden="1" width="26" customWidth="1" min="143" max="143"/>
    <col hidden="1" width="26" customWidth="1" min="144" max="144"/>
    <col hidden="1" width="26" customWidth="1" min="145" max="145"/>
    <col hidden="1" width="26" customWidth="1" min="146" max="146"/>
    <col hidden="1" width="26" customWidth="1" min="147" max="147"/>
    <col hidden="1" width="26" customWidth="1" min="148" max="148"/>
    <col hidden="1" width="26" customWidth="1" min="149" max="149"/>
    <col hidden="1" width="26" customWidth="1" min="150" max="150"/>
    <col hidden="1" width="26" customWidth="1" min="151" max="151"/>
    <col hidden="1" width="26" customWidth="1" min="152" max="152"/>
    <col hidden="1" width="25" customWidth="1" min="153" max="153"/>
    <col hidden="1" width="26" customWidth="1" min="154" max="154"/>
    <col hidden="1" width="26" customWidth="1" min="155" max="155"/>
    <col hidden="1" width="26" customWidth="1" min="156" max="156"/>
    <col hidden="1" width="26" customWidth="1" min="157" max="157"/>
    <col hidden="1" width="26" customWidth="1" min="158" max="158"/>
    <col hidden="1" width="26" customWidth="1" min="159" max="159"/>
    <col hidden="1" width="26" customWidth="1" min="160" max="160"/>
    <col hidden="1" width="26" customWidth="1" min="161" max="161"/>
    <col hidden="1" width="26" customWidth="1" min="162" max="162"/>
    <col hidden="1" width="26" customWidth="1" min="163" max="163"/>
    <col hidden="1" width="26" customWidth="1" min="164" max="164"/>
    <col hidden="1" width="26" customWidth="1" min="165" max="165"/>
    <col hidden="1" width="26" customWidth="1" min="166" max="166"/>
    <col hidden="1" width="26" customWidth="1" min="167" max="167"/>
    <col hidden="1" width="26" customWidth="1" min="168" max="168"/>
    <col hidden="1" width="26" customWidth="1" min="169" max="169"/>
    <col hidden="1" width="26" customWidth="1" min="170" max="170"/>
    <col hidden="1" width="26" customWidth="1" min="171" max="171"/>
    <col hidden="1" width="26" customWidth="1" min="172" max="172"/>
    <col hidden="1" width="26" customWidth="1" min="173" max="173"/>
    <col hidden="1" width="26" customWidth="1" min="174" max="174"/>
    <col hidden="1" width="26" customWidth="1" min="175" max="175"/>
    <col hidden="1" width="26" customWidth="1" min="176" max="176"/>
    <col hidden="1" width="26" customWidth="1" min="177" max="177"/>
    <col hidden="1" width="26" customWidth="1" min="178" max="178"/>
    <col hidden="1" width="26" customWidth="1" min="179" max="179"/>
    <col hidden="1" width="26" customWidth="1" min="180" max="180"/>
    <col hidden="1" width="26" customWidth="1" min="181" max="181"/>
    <col hidden="1" width="26" customWidth="1" min="182" max="182"/>
    <col hidden="1" width="26" customWidth="1" min="183" max="183"/>
    <col hidden="1" width="26" customWidth="1" min="184" max="184"/>
    <col hidden="1" width="26" customWidth="1" min="185" max="185"/>
    <col hidden="1" width="26" customWidth="1" min="186" max="186"/>
    <col hidden="1" width="26" customWidth="1" min="187" max="187"/>
    <col hidden="1" width="26" customWidth="1" min="188" max="188"/>
    <col hidden="1" width="26" customWidth="1" min="189" max="189"/>
    <col hidden="1" width="26" customWidth="1" min="190" max="190"/>
    <col hidden="1" width="26" customWidth="1" min="191" max="191"/>
    <col hidden="1" width="20" customWidth="1" min="192" max="192"/>
    <col hidden="1" width="26" customWidth="1" min="193" max="193"/>
    <col hidden="1" width="26" customWidth="1" min="194" max="194"/>
    <col hidden="1" width="21" customWidth="1" min="195" max="195"/>
    <col hidden="1" width="26" customWidth="1" min="196" max="196"/>
    <col hidden="1" width="26" customWidth="1" min="197" max="197"/>
    <col hidden="1" width="25" customWidth="1" min="198" max="198"/>
    <col hidden="1" width="26" customWidth="1" min="199" max="199"/>
    <col hidden="1" width="26" customWidth="1" min="200" max="200"/>
    <col hidden="1" width="26" customWidth="1" min="201" max="201"/>
    <col hidden="1" width="26" customWidth="1" min="202" max="202"/>
    <col hidden="1" width="26" customWidth="1" min="203" max="203"/>
    <col hidden="1" width="25" customWidth="1" min="204" max="204"/>
    <col hidden="1" width="26" customWidth="1" min="205" max="205"/>
    <col hidden="1" width="26" customWidth="1" min="206" max="206"/>
    <col hidden="1" width="25" customWidth="1" min="207" max="207"/>
    <col hidden="1" width="26" customWidth="1" min="208" max="208"/>
    <col hidden="1" width="26" customWidth="1" min="209" max="209"/>
    <col hidden="1" width="23" customWidth="1" min="210" max="210"/>
    <col hidden="1" width="26" customWidth="1" min="211" max="211"/>
    <col width="25" customWidth="1" min="212" max="212"/>
    <col width="26" customWidth="1" min="213" max="213"/>
    <col width="26" customWidth="1" min="214" max="214"/>
    <col width="26" customWidth="1" min="215" max="215"/>
    <col width="26" customWidth="1" min="216" max="216"/>
    <col width="26" customWidth="1" min="217" max="217"/>
    <col width="22" customWidth="1" min="218" max="218"/>
    <col width="24" customWidth="1" min="219" max="219"/>
    <col width="24" customWidth="1" min="220" max="220"/>
    <col width="25" customWidth="1" min="221" max="221"/>
    <col width="25" customWidth="1" min="222" max="222"/>
    <col width="26" customWidth="1" min="223" max="223"/>
    <col width="16" customWidth="1" min="224" max="224"/>
    <col width="17" customWidth="1" min="225" max="225"/>
    <col width="16" customWidth="1" min="226" max="226"/>
    <col width="17" customWidth="1" min="227" max="227"/>
    <col width="18" customWidth="1" min="228" max="228"/>
    <col width="18" customWidth="1" min="229" max="229"/>
    <col width="18" customWidth="1" min="230" max="230"/>
    <col width="25" customWidth="1" min="231" max="231"/>
    <col width="22" customWidth="1" min="232" max="232"/>
    <col width="14" customWidth="1" min="233" max="233"/>
    <col width="14" customWidth="1" min="234" max="234"/>
    <col width="17" customWidth="1" min="235" max="235"/>
    <col width="18" customWidth="1" min="236" max="236"/>
    <col width="20" customWidth="1" min="237" max="237"/>
    <col width="17" customWidth="1" min="238" max="238"/>
    <col width="17" customWidth="1" min="239" max="239"/>
    <col width="18" customWidth="1" min="240" max="240"/>
    <col width="18" customWidth="1" min="241" max="241"/>
    <col width="20" customWidth="1" min="242" max="242"/>
    <col width="17" customWidth="1" min="243" max="243"/>
    <col width="17" customWidth="1" min="244" max="244"/>
    <col width="23" customWidth="1" min="245" max="245"/>
    <col width="13" customWidth="1" min="246" max="246"/>
    <col width="15" customWidth="1" min="247" max="247"/>
    <col width="19" customWidth="1" min="248" max="248"/>
    <col width="20" customWidth="1" min="249" max="249"/>
    <col width="18" customWidth="1" min="250" max="250"/>
    <col width="20" customWidth="1" min="251" max="251"/>
    <col width="26" customWidth="1" min="252" max="252"/>
    <col width="26" customWidth="1" min="253" max="253"/>
    <col width="26" customWidth="1" min="254" max="254"/>
    <col width="26" customWidth="1" min="255" max="255"/>
    <col width="25" customWidth="1" min="256" max="256"/>
    <col width="22" customWidth="1" min="257" max="257"/>
    <col width="20" customWidth="1" min="258" max="258"/>
    <col width="19" customWidth="1" min="259" max="259"/>
    <col width="26" customWidth="1" min="260" max="260"/>
    <col width="24" customWidth="1" min="261" max="261"/>
    <col width="24" customWidth="1" min="262" max="262"/>
    <col width="25" customWidth="1" min="263" max="263"/>
    <col width="26" customWidth="1" min="264" max="264"/>
    <col width="24" customWidth="1" min="265" max="265"/>
    <col width="24" customWidth="1" min="266" max="266"/>
    <col width="25" customWidth="1" min="267" max="267"/>
    <col width="26" customWidth="1" min="268" max="268"/>
    <col width="26" customWidth="1" min="269" max="269"/>
    <col width="26" customWidth="1" min="270" max="270"/>
    <col width="26" customWidth="1" min="271" max="271"/>
    <col width="14" customWidth="1" min="272" max="272"/>
    <col width="15" customWidth="1" min="273" max="273"/>
    <col width="19" customWidth="1" min="274" max="274"/>
    <col width="22" customWidth="1" min="275" max="275"/>
    <col width="19" customWidth="1" min="276" max="276"/>
    <col width="19" customWidth="1" min="277" max="277"/>
    <col width="17" customWidth="1" min="278" max="278"/>
  </cols>
  <sheetData>
    <row r="1">
      <c r="B1" s="1" t="inlineStr">
        <is>
          <t>Lot_QC_Summary</t>
        </is>
      </c>
      <c r="C1" s="1" t="inlineStr">
        <is>
          <t>QC_Dictionary</t>
        </is>
      </c>
      <c r="D1" s="1" t="inlineStr">
        <is>
          <t>A_Replicates</t>
        </is>
      </c>
      <c r="E1" s="1" t="inlineStr">
        <is>
          <t>B_Replicates</t>
        </is>
      </c>
      <c r="F1" s="1" t="inlineStr">
        <is>
          <t>Density_Replicates</t>
        </is>
      </c>
      <c r="G1" s="1" t="inlineStr">
        <is>
          <t>A_Replicates_INCL</t>
        </is>
      </c>
      <c r="H1" s="1" t="inlineStr">
        <is>
          <t>A_Replicates_EXC</t>
        </is>
      </c>
      <c r="I1" s="1" t="inlineStr">
        <is>
          <t>Metric_Statistics</t>
        </is>
      </c>
      <c r="J1" s="1" t="inlineStr">
        <is>
          <t>A_Step_Replicates</t>
        </is>
      </c>
      <c r="K1" s="1" t="inlineStr">
        <is>
          <t>A_Step_Statistics</t>
        </is>
      </c>
      <c r="L1" s="1" t="inlineStr">
        <is>
          <t>Replicate_Flags</t>
        </is>
      </c>
      <c r="M1" s="1" t="inlineStr">
        <is>
          <t>Traceability</t>
        </is>
      </c>
    </row>
    <row r="2" ht="28" customHeight="1">
      <c r="B2" s="2" t="inlineStr">
        <is>
          <t>A_Replicates_INCL — INCLUSIVE 채널 전체 반복값(감사용)</t>
        </is>
      </c>
    </row>
    <row r="3" ht="30" customHeight="1">
      <c r="B3" s="3" t="inlineStr">
        <is>
          <t>정책 허용 hold·범위 밖 참고값을 포함한 inclusive 값입니다. CENSORED여도 셀을 비우지 않고, 오른쪽 값 구분 열에 출처를 남깁니다. Metric_Statistics의 inclusive 평균은 정책이 허용한 값 구분만 집계합니다.</t>
        </is>
      </c>
    </row>
    <row r="4" ht="30" customHeight="1">
      <c r="B4" s="4" t="inlineStr">
        <is>
          <t>POLICY INCLUSIVE — accepted holds 30,45,60 s, 범위 밖 Torque 점 inclusive 포함. EXCEPTION·CENSORED 값은 표준 60 s Lot 통계·추세·규격 설정에 혼용 금지</t>
        </is>
      </c>
    </row>
    <row r="5" ht="28" customHeight="1">
      <c r="B5" s="8" t="inlineStr">
        <is>
          <t>lot</t>
        </is>
      </c>
      <c r="C5" s="8" t="inlineStr">
        <is>
          <t>repeat</t>
        </is>
      </c>
      <c r="D5" s="8" t="inlineStr">
        <is>
          <t>file</t>
        </is>
      </c>
      <c r="E5" s="8" t="inlineStr">
        <is>
          <t>test_start</t>
        </is>
      </c>
      <c r="F5" s="8" t="inlineStr">
        <is>
          <t>route</t>
        </is>
      </c>
      <c r="G5" s="8" t="inlineStr">
        <is>
          <t>data_qc</t>
        </is>
      </c>
      <c r="H5" s="8" t="inlineStr">
        <is>
          <t>A_TAU_L_UP</t>
        </is>
      </c>
      <c r="I5" s="8" t="inlineStr">
        <is>
          <t>A_TAU_M_UP</t>
        </is>
      </c>
      <c r="J5" s="8" t="inlineStr">
        <is>
          <t>A_TAU_H_UP</t>
        </is>
      </c>
      <c r="K5" s="8" t="inlineStr">
        <is>
          <t>A_SSI_FIELD_0P2_2</t>
        </is>
      </c>
      <c r="L5" s="8" t="inlineStr">
        <is>
          <t>A_SSI_QC_0P5_5</t>
        </is>
      </c>
      <c r="M5" s="8" t="inlineStr">
        <is>
          <t>A_DU_L</t>
        </is>
      </c>
      <c r="N5" s="8" t="inlineStr">
        <is>
          <t>A_DU_M</t>
        </is>
      </c>
      <c r="O5" s="8" t="inlineStr">
        <is>
          <t>A_HYS_REL</t>
        </is>
      </c>
      <c r="P5" s="8" t="inlineStr">
        <is>
          <t>A_BRK_PEAK</t>
        </is>
      </c>
      <c r="Q5" s="8" t="inlineStr">
        <is>
          <t>A_HB_TAUY_UP</t>
        </is>
      </c>
      <c r="R5" s="8" t="inlineStr">
        <is>
          <t>A_HB_K_UP</t>
        </is>
      </c>
      <c r="S5" s="8" t="inlineStr">
        <is>
          <t>A_HB_N_UP</t>
        </is>
      </c>
      <c r="T5" s="8" t="inlineStr">
        <is>
          <t>A_HB_R2_UP</t>
        </is>
      </c>
      <c r="U5" s="8" t="inlineStr">
        <is>
          <t>A_HB_R2_DN</t>
        </is>
      </c>
      <c r="V5" s="8" t="inlineStr">
        <is>
          <t>A_HB_TAUY_DN</t>
        </is>
      </c>
      <c r="W5" s="8" t="inlineStr">
        <is>
          <t>A_HB_K_DN</t>
        </is>
      </c>
      <c r="X5" s="8" t="inlineStr">
        <is>
          <t>A_HB_N_DN</t>
        </is>
      </c>
      <c r="Y5" s="8" t="inlineStr">
        <is>
          <t>A_HB_TAUY_RATIO</t>
        </is>
      </c>
      <c r="Z5" s="8" t="inlineStr">
        <is>
          <t>A_HDI</t>
        </is>
      </c>
      <c r="AA5" s="8" t="inlineStr">
        <is>
          <t>A_OVS_L</t>
        </is>
      </c>
      <c r="AB5" s="8" t="inlineStr">
        <is>
          <t>A_HB_GRANGE</t>
        </is>
      </c>
      <c r="AC5" s="8" t="inlineStr">
        <is>
          <t>A_ETA_MIN_UP</t>
        </is>
      </c>
      <c r="AD5" s="8" t="inlineStr">
        <is>
          <t>A_ETA_HIGH</t>
        </is>
      </c>
      <c r="AE5" s="8" t="inlineStr">
        <is>
          <t>A_ETA_LOW_DN</t>
        </is>
      </c>
      <c r="AF5" s="8" t="inlineStr">
        <is>
          <t>A_STATIC_YIELD_APPROX_UP</t>
        </is>
      </c>
      <c r="AG5" s="8" t="inlineStr">
        <is>
          <t>A_POST_SHEAR_STARTUP_STRESS</t>
        </is>
      </c>
      <c r="AH5" s="8" t="inlineStr">
        <is>
          <t>A_POST_SHEAR_STRESS_RETENTION</t>
        </is>
      </c>
      <c r="AI5" s="8" t="inlineStr">
        <is>
          <t>A_ETA_RECOVERY_LOW</t>
        </is>
      </c>
      <c r="AJ5" s="8" t="inlineStr">
        <is>
          <t>A_HYS_AREA_SIGNED</t>
        </is>
      </c>
      <c r="AK5" s="8" t="inlineStr">
        <is>
          <t>A_HYS_AREA_ABS</t>
        </is>
      </c>
      <c r="AL5" s="8" t="inlineStr">
        <is>
          <t>A_HB_K_RATIO</t>
        </is>
      </c>
      <c r="AM5" s="8" t="inlineStr">
        <is>
          <t>A_HB_N_DIFF</t>
        </is>
      </c>
      <c r="AN5" s="8" t="inlineStr">
        <is>
          <t>A_HB_TAUY_UP_COMMON</t>
        </is>
      </c>
      <c r="AO5" s="8" t="inlineStr">
        <is>
          <t>A_HB_K_UP_COMMON</t>
        </is>
      </c>
      <c r="AP5" s="8" t="inlineStr">
        <is>
          <t>A_HB_N_UP_COMMON</t>
        </is>
      </c>
      <c r="AQ5" s="8" t="inlineStr">
        <is>
          <t>A_HB_R2_UP_COMMON</t>
        </is>
      </c>
      <c r="AR5" s="8" t="inlineStr">
        <is>
          <t>A_HB_TAUY_DN_COMMON</t>
        </is>
      </c>
      <c r="AS5" s="8" t="inlineStr">
        <is>
          <t>A_HB_K_DN_COMMON</t>
        </is>
      </c>
      <c r="AT5" s="8" t="inlineStr">
        <is>
          <t>A_HB_N_DN_COMMON</t>
        </is>
      </c>
      <c r="AU5" s="8" t="inlineStr">
        <is>
          <t>A_HB_R2_DN_COMMON</t>
        </is>
      </c>
      <c r="AV5" s="8" t="inlineStr">
        <is>
          <t>A_HB_TAUY_RATIO_COMMON</t>
        </is>
      </c>
      <c r="AW5" s="8" t="inlineStr">
        <is>
          <t>A_STARTUP_PLATEAU_UP</t>
        </is>
      </c>
      <c r="AX5" s="8" t="inlineStr">
        <is>
          <t>A_POST_SHEAR_PLATEAU</t>
        </is>
      </c>
      <c r="AY5" s="8" t="inlineStr">
        <is>
          <t>A_PLATEAU_RETENTION</t>
        </is>
      </c>
      <c r="AZ5" s="8" t="inlineStr">
        <is>
          <t>A_TQ_L</t>
        </is>
      </c>
      <c r="BA5" s="8" t="inlineStr">
        <is>
          <t>A_RES_L</t>
        </is>
      </c>
      <c r="BB5" s="8" t="inlineStr">
        <is>
          <t>A_DUL_FLOOR</t>
        </is>
      </c>
      <c r="BC5" s="8" t="inlineStr">
        <is>
          <t>A_EQ_DRIFT_MAX</t>
        </is>
      </c>
      <c r="BD5" s="8" t="inlineStr">
        <is>
          <t>A_TEMP_MEAN</t>
        </is>
      </c>
      <c r="BE5" s="8" t="inlineStr">
        <is>
          <t>A_TEMP_SPAN</t>
        </is>
      </c>
      <c r="BF5" s="8" t="inlineStr">
        <is>
          <t>A_N_QUANT</t>
        </is>
      </c>
      <c r="BG5" s="8" t="inlineStr">
        <is>
          <t>A_TAU_L_UP__include_in_lot_stats</t>
        </is>
      </c>
      <c r="BH5" s="8" t="inlineStr">
        <is>
          <t>A_TAU_L_UP__stat_value</t>
        </is>
      </c>
      <c r="BI5" s="8" t="inlineStr">
        <is>
          <t>A_TAU_L_UP__lot_exclusion_reason</t>
        </is>
      </c>
      <c r="BJ5" s="8" t="inlineStr">
        <is>
          <t>A_TAU_M_UP__include_in_lot_stats</t>
        </is>
      </c>
      <c r="BK5" s="8" t="inlineStr">
        <is>
          <t>A_TAU_M_UP__stat_value</t>
        </is>
      </c>
      <c r="BL5" s="8" t="inlineStr">
        <is>
          <t>A_TAU_M_UP__lot_exclusion_reason</t>
        </is>
      </c>
      <c r="BM5" s="8" t="inlineStr">
        <is>
          <t>A_TAU_H_UP__include_in_lot_stats</t>
        </is>
      </c>
      <c r="BN5" s="8" t="inlineStr">
        <is>
          <t>A_TAU_H_UP__stat_value</t>
        </is>
      </c>
      <c r="BO5" s="8" t="inlineStr">
        <is>
          <t>A_TAU_H_UP__lot_exclusion_reason</t>
        </is>
      </c>
      <c r="BP5" s="8" t="inlineStr">
        <is>
          <t>A_SSI_FIELD_0P2_2__include_in_lot_stats</t>
        </is>
      </c>
      <c r="BQ5" s="8" t="inlineStr">
        <is>
          <t>A_SSI_FIELD_0P2_2__stat_value</t>
        </is>
      </c>
      <c r="BR5" s="8" t="inlineStr">
        <is>
          <t>A_SSI_FIELD_0P2_2__lot_exclusion_reason</t>
        </is>
      </c>
      <c r="BS5" s="8" t="inlineStr">
        <is>
          <t>A_SSI_QC_0P5_5__include_in_lot_stats</t>
        </is>
      </c>
      <c r="BT5" s="8" t="inlineStr">
        <is>
          <t>A_SSI_QC_0P5_5__stat_value</t>
        </is>
      </c>
      <c r="BU5" s="8" t="inlineStr">
        <is>
          <t>A_SSI_QC_0P5_5__lot_exclusion_reason</t>
        </is>
      </c>
      <c r="BV5" s="8" t="inlineStr">
        <is>
          <t>A_DU_L__include_in_lot_stats</t>
        </is>
      </c>
      <c r="BW5" s="8" t="inlineStr">
        <is>
          <t>A_DU_L__stat_value</t>
        </is>
      </c>
      <c r="BX5" s="8" t="inlineStr">
        <is>
          <t>A_DU_L__lot_exclusion_reason</t>
        </is>
      </c>
      <c r="BY5" s="8" t="inlineStr">
        <is>
          <t>A_DU_M__include_in_lot_stats</t>
        </is>
      </c>
      <c r="BZ5" s="8" t="inlineStr">
        <is>
          <t>A_DU_M__stat_value</t>
        </is>
      </c>
      <c r="CA5" s="8" t="inlineStr">
        <is>
          <t>A_DU_M__lot_exclusion_reason</t>
        </is>
      </c>
      <c r="CB5" s="8" t="inlineStr">
        <is>
          <t>A_HYS_REL__include_in_lot_stats</t>
        </is>
      </c>
      <c r="CC5" s="8" t="inlineStr">
        <is>
          <t>A_HYS_REL__stat_value</t>
        </is>
      </c>
      <c r="CD5" s="8" t="inlineStr">
        <is>
          <t>A_HYS_REL__lot_exclusion_reason</t>
        </is>
      </c>
      <c r="CE5" s="8" t="inlineStr">
        <is>
          <t>A_BRK_PEAK__include_in_lot_stats</t>
        </is>
      </c>
      <c r="CF5" s="8" t="inlineStr">
        <is>
          <t>A_BRK_PEAK__stat_value</t>
        </is>
      </c>
      <c r="CG5" s="8" t="inlineStr">
        <is>
          <t>A_BRK_PEAK__lot_exclusion_reason</t>
        </is>
      </c>
      <c r="CH5" s="8" t="inlineStr">
        <is>
          <t>A_HB_TAUY_UP__include_in_lot_stats</t>
        </is>
      </c>
      <c r="CI5" s="8" t="inlineStr">
        <is>
          <t>A_HB_TAUY_UP__stat_value</t>
        </is>
      </c>
      <c r="CJ5" s="8" t="inlineStr">
        <is>
          <t>A_HB_TAUY_UP__lot_exclusion_reason</t>
        </is>
      </c>
      <c r="CK5" s="8" t="inlineStr">
        <is>
          <t>A_HB_K_UP__include_in_lot_stats</t>
        </is>
      </c>
      <c r="CL5" s="8" t="inlineStr">
        <is>
          <t>A_HB_K_UP__stat_value</t>
        </is>
      </c>
      <c r="CM5" s="8" t="inlineStr">
        <is>
          <t>A_HB_K_UP__lot_exclusion_reason</t>
        </is>
      </c>
      <c r="CN5" s="8" t="inlineStr">
        <is>
          <t>A_HB_N_UP__include_in_lot_stats</t>
        </is>
      </c>
      <c r="CO5" s="8" t="inlineStr">
        <is>
          <t>A_HB_N_UP__stat_value</t>
        </is>
      </c>
      <c r="CP5" s="8" t="inlineStr">
        <is>
          <t>A_HB_N_UP__lot_exclusion_reason</t>
        </is>
      </c>
      <c r="CQ5" s="8" t="inlineStr">
        <is>
          <t>A_HB_R2_UP__include_in_lot_stats</t>
        </is>
      </c>
      <c r="CR5" s="8" t="inlineStr">
        <is>
          <t>A_HB_R2_UP__stat_value</t>
        </is>
      </c>
      <c r="CS5" s="8" t="inlineStr">
        <is>
          <t>A_HB_R2_UP__lot_exclusion_reason</t>
        </is>
      </c>
      <c r="CT5" s="8" t="inlineStr">
        <is>
          <t>A_HB_R2_DN__include_in_lot_stats</t>
        </is>
      </c>
      <c r="CU5" s="8" t="inlineStr">
        <is>
          <t>A_HB_R2_DN__stat_value</t>
        </is>
      </c>
      <c r="CV5" s="8" t="inlineStr">
        <is>
          <t>A_HB_R2_DN__lot_exclusion_reason</t>
        </is>
      </c>
      <c r="CW5" s="8" t="inlineStr">
        <is>
          <t>A_HB_TAUY_DN__include_in_lot_stats</t>
        </is>
      </c>
      <c r="CX5" s="8" t="inlineStr">
        <is>
          <t>A_HB_TAUY_DN__stat_value</t>
        </is>
      </c>
      <c r="CY5" s="8" t="inlineStr">
        <is>
          <t>A_HB_TAUY_DN__lot_exclusion_reason</t>
        </is>
      </c>
      <c r="CZ5" s="8" t="inlineStr">
        <is>
          <t>A_HB_K_DN__include_in_lot_stats</t>
        </is>
      </c>
      <c r="DA5" s="8" t="inlineStr">
        <is>
          <t>A_HB_K_DN__stat_value</t>
        </is>
      </c>
      <c r="DB5" s="8" t="inlineStr">
        <is>
          <t>A_HB_K_DN__lot_exclusion_reason</t>
        </is>
      </c>
      <c r="DC5" s="8" t="inlineStr">
        <is>
          <t>A_HB_N_DN__include_in_lot_stats</t>
        </is>
      </c>
      <c r="DD5" s="8" t="inlineStr">
        <is>
          <t>A_HB_N_DN__stat_value</t>
        </is>
      </c>
      <c r="DE5" s="8" t="inlineStr">
        <is>
          <t>A_HB_N_DN__lot_exclusion_reason</t>
        </is>
      </c>
      <c r="DF5" s="8" t="inlineStr">
        <is>
          <t>A_HB_TAUY_RATIO__include_in_lot_stats</t>
        </is>
      </c>
      <c r="DG5" s="8" t="inlineStr">
        <is>
          <t>A_HB_TAUY_RATIO__stat_value</t>
        </is>
      </c>
      <c r="DH5" s="8" t="inlineStr">
        <is>
          <t>A_HB_TAUY_RATIO__lot_exclusion_reason</t>
        </is>
      </c>
      <c r="DI5" s="8" t="inlineStr">
        <is>
          <t>A_HDI__include_in_lot_stats</t>
        </is>
      </c>
      <c r="DJ5" s="8" t="inlineStr">
        <is>
          <t>A_HDI__stat_value</t>
        </is>
      </c>
      <c r="DK5" s="8" t="inlineStr">
        <is>
          <t>A_HDI__lot_exclusion_reason</t>
        </is>
      </c>
      <c r="DL5" s="8" t="inlineStr">
        <is>
          <t>A_OVS_L__include_in_lot_stats</t>
        </is>
      </c>
      <c r="DM5" s="8" t="inlineStr">
        <is>
          <t>A_OVS_L__stat_value</t>
        </is>
      </c>
      <c r="DN5" s="8" t="inlineStr">
        <is>
          <t>A_OVS_L__lot_exclusion_reason</t>
        </is>
      </c>
      <c r="DO5" s="8" t="inlineStr">
        <is>
          <t>A_HB_GRANGE__include_in_lot_stats</t>
        </is>
      </c>
      <c r="DP5" s="8" t="inlineStr">
        <is>
          <t>A_HB_GRANGE__stat_value</t>
        </is>
      </c>
      <c r="DQ5" s="8" t="inlineStr">
        <is>
          <t>A_HB_GRANGE__lot_exclusion_reason</t>
        </is>
      </c>
      <c r="DR5" s="8" t="inlineStr">
        <is>
          <t>A_ETA_MIN_UP__include_in_lot_stats</t>
        </is>
      </c>
      <c r="DS5" s="8" t="inlineStr">
        <is>
          <t>A_ETA_MIN_UP__stat_value</t>
        </is>
      </c>
      <c r="DT5" s="8" t="inlineStr">
        <is>
          <t>A_ETA_MIN_UP__lot_exclusion_reason</t>
        </is>
      </c>
      <c r="DU5" s="8" t="inlineStr">
        <is>
          <t>A_ETA_HIGH__include_in_lot_stats</t>
        </is>
      </c>
      <c r="DV5" s="8" t="inlineStr">
        <is>
          <t>A_ETA_HIGH__stat_value</t>
        </is>
      </c>
      <c r="DW5" s="8" t="inlineStr">
        <is>
          <t>A_ETA_HIGH__lot_exclusion_reason</t>
        </is>
      </c>
      <c r="DX5" s="8" t="inlineStr">
        <is>
          <t>A_ETA_LOW_DN__include_in_lot_stats</t>
        </is>
      </c>
      <c r="DY5" s="8" t="inlineStr">
        <is>
          <t>A_ETA_LOW_DN__stat_value</t>
        </is>
      </c>
      <c r="DZ5" s="8" t="inlineStr">
        <is>
          <t>A_ETA_LOW_DN__lot_exclusion_reason</t>
        </is>
      </c>
      <c r="EA5" s="8" t="inlineStr">
        <is>
          <t>A_STATIC_YIELD_APPROX_UP__include_in_lot_stats</t>
        </is>
      </c>
      <c r="EB5" s="8" t="inlineStr">
        <is>
          <t>A_STATIC_YIELD_APPROX_UP__stat_value</t>
        </is>
      </c>
      <c r="EC5" s="8" t="inlineStr">
        <is>
          <t>A_STATIC_YIELD_APPROX_UP__lot_exclusion_reason</t>
        </is>
      </c>
      <c r="ED5" s="8" t="inlineStr">
        <is>
          <t>A_POST_SHEAR_STARTUP_STRESS__include_in_lot_stats</t>
        </is>
      </c>
      <c r="EE5" s="8" t="inlineStr">
        <is>
          <t>A_POST_SHEAR_STARTUP_STRESS__stat_value</t>
        </is>
      </c>
      <c r="EF5" s="8" t="inlineStr">
        <is>
          <t>A_POST_SHEAR_STARTUP_STRESS__lot_exclusion_reason</t>
        </is>
      </c>
      <c r="EG5" s="8" t="inlineStr">
        <is>
          <t>A_POST_SHEAR_STRESS_RETENTION__include_in_lot_stats</t>
        </is>
      </c>
      <c r="EH5" s="8" t="inlineStr">
        <is>
          <t>A_POST_SHEAR_STRESS_RETENTION__stat_value</t>
        </is>
      </c>
      <c r="EI5" s="8" t="inlineStr">
        <is>
          <t>A_POST_SHEAR_STRESS_RETENTION__lot_exclusion_reason</t>
        </is>
      </c>
      <c r="EJ5" s="8" t="inlineStr">
        <is>
          <t>A_ETA_RECOVERY_LOW__include_in_lot_stats</t>
        </is>
      </c>
      <c r="EK5" s="8" t="inlineStr">
        <is>
          <t>A_ETA_RECOVERY_LOW__stat_value</t>
        </is>
      </c>
      <c r="EL5" s="8" t="inlineStr">
        <is>
          <t>A_ETA_RECOVERY_LOW__lot_exclusion_reason</t>
        </is>
      </c>
      <c r="EM5" s="8" t="inlineStr">
        <is>
          <t>A_HYS_AREA_SIGNED__include_in_lot_stats</t>
        </is>
      </c>
      <c r="EN5" s="8" t="inlineStr">
        <is>
          <t>A_HYS_AREA_SIGNED__stat_value</t>
        </is>
      </c>
      <c r="EO5" s="8" t="inlineStr">
        <is>
          <t>A_HYS_AREA_SIGNED__lot_exclusion_reason</t>
        </is>
      </c>
      <c r="EP5" s="8" t="inlineStr">
        <is>
          <t>A_HYS_AREA_ABS__include_in_lot_stats</t>
        </is>
      </c>
      <c r="EQ5" s="8" t="inlineStr">
        <is>
          <t>A_HYS_AREA_ABS__stat_value</t>
        </is>
      </c>
      <c r="ER5" s="8" t="inlineStr">
        <is>
          <t>A_HYS_AREA_ABS__lot_exclusion_reason</t>
        </is>
      </c>
      <c r="ES5" s="8" t="inlineStr">
        <is>
          <t>A_HB_K_RATIO__include_in_lot_stats</t>
        </is>
      </c>
      <c r="ET5" s="8" t="inlineStr">
        <is>
          <t>A_HB_K_RATIO__stat_value</t>
        </is>
      </c>
      <c r="EU5" s="8" t="inlineStr">
        <is>
          <t>A_HB_K_RATIO__lot_exclusion_reason</t>
        </is>
      </c>
      <c r="EV5" s="8" t="inlineStr">
        <is>
          <t>A_HB_N_DIFF__include_in_lot_stats</t>
        </is>
      </c>
      <c r="EW5" s="8" t="inlineStr">
        <is>
          <t>A_HB_N_DIFF__stat_value</t>
        </is>
      </c>
      <c r="EX5" s="8" t="inlineStr">
        <is>
          <t>A_HB_N_DIFF__lot_exclusion_reason</t>
        </is>
      </c>
      <c r="EY5" s="8" t="inlineStr">
        <is>
          <t>A_HB_TAUY_UP_COMMON__include_in_lot_stats</t>
        </is>
      </c>
      <c r="EZ5" s="8" t="inlineStr">
        <is>
          <t>A_HB_TAUY_UP_COMMON__stat_value</t>
        </is>
      </c>
      <c r="FA5" s="8" t="inlineStr">
        <is>
          <t>A_HB_TAUY_UP_COMMON__lot_exclusion_reason</t>
        </is>
      </c>
      <c r="FB5" s="8" t="inlineStr">
        <is>
          <t>A_HB_K_UP_COMMON__include_in_lot_stats</t>
        </is>
      </c>
      <c r="FC5" s="8" t="inlineStr">
        <is>
          <t>A_HB_K_UP_COMMON__stat_value</t>
        </is>
      </c>
      <c r="FD5" s="8" t="inlineStr">
        <is>
          <t>A_HB_K_UP_COMMON__lot_exclusion_reason</t>
        </is>
      </c>
      <c r="FE5" s="8" t="inlineStr">
        <is>
          <t>A_HB_N_UP_COMMON__include_in_lot_stats</t>
        </is>
      </c>
      <c r="FF5" s="8" t="inlineStr">
        <is>
          <t>A_HB_N_UP_COMMON__stat_value</t>
        </is>
      </c>
      <c r="FG5" s="8" t="inlineStr">
        <is>
          <t>A_HB_N_UP_COMMON__lot_exclusion_reason</t>
        </is>
      </c>
      <c r="FH5" s="8" t="inlineStr">
        <is>
          <t>A_HB_R2_UP_COMMON__include_in_lot_stats</t>
        </is>
      </c>
      <c r="FI5" s="8" t="inlineStr">
        <is>
          <t>A_HB_R2_UP_COMMON__stat_value</t>
        </is>
      </c>
      <c r="FJ5" s="8" t="inlineStr">
        <is>
          <t>A_HB_R2_UP_COMMON__lot_exclusion_reason</t>
        </is>
      </c>
      <c r="FK5" s="8" t="inlineStr">
        <is>
          <t>A_HB_TAUY_DN_COMMON__include_in_lot_stats</t>
        </is>
      </c>
      <c r="FL5" s="8" t="inlineStr">
        <is>
          <t>A_HB_TAUY_DN_COMMON__stat_value</t>
        </is>
      </c>
      <c r="FM5" s="8" t="inlineStr">
        <is>
          <t>A_HB_TAUY_DN_COMMON__lot_exclusion_reason</t>
        </is>
      </c>
      <c r="FN5" s="8" t="inlineStr">
        <is>
          <t>A_HB_K_DN_COMMON__include_in_lot_stats</t>
        </is>
      </c>
      <c r="FO5" s="8" t="inlineStr">
        <is>
          <t>A_HB_K_DN_COMMON__stat_value</t>
        </is>
      </c>
      <c r="FP5" s="8" t="inlineStr">
        <is>
          <t>A_HB_K_DN_COMMON__lot_exclusion_reason</t>
        </is>
      </c>
      <c r="FQ5" s="8" t="inlineStr">
        <is>
          <t>A_HB_N_DN_COMMON__include_in_lot_stats</t>
        </is>
      </c>
      <c r="FR5" s="8" t="inlineStr">
        <is>
          <t>A_HB_N_DN_COMMON__stat_value</t>
        </is>
      </c>
      <c r="FS5" s="8" t="inlineStr">
        <is>
          <t>A_HB_N_DN_COMMON__lot_exclusion_reason</t>
        </is>
      </c>
      <c r="FT5" s="8" t="inlineStr">
        <is>
          <t>A_HB_R2_DN_COMMON__include_in_lot_stats</t>
        </is>
      </c>
      <c r="FU5" s="8" t="inlineStr">
        <is>
          <t>A_HB_R2_DN_COMMON__stat_value</t>
        </is>
      </c>
      <c r="FV5" s="8" t="inlineStr">
        <is>
          <t>A_HB_R2_DN_COMMON__lot_exclusion_reason</t>
        </is>
      </c>
      <c r="FW5" s="8" t="inlineStr">
        <is>
          <t>A_HB_TAUY_RATIO_COMMON__include_in_lot_stats</t>
        </is>
      </c>
      <c r="FX5" s="8" t="inlineStr">
        <is>
          <t>A_HB_TAUY_RATIO_COMMON__stat_value</t>
        </is>
      </c>
      <c r="FY5" s="8" t="inlineStr">
        <is>
          <t>A_HB_TAUY_RATIO_COMMON__lot_exclusion_reason</t>
        </is>
      </c>
      <c r="FZ5" s="8" t="inlineStr">
        <is>
          <t>A_STARTUP_PLATEAU_UP__include_in_lot_stats</t>
        </is>
      </c>
      <c r="GA5" s="8" t="inlineStr">
        <is>
          <t>A_STARTUP_PLATEAU_UP__stat_value</t>
        </is>
      </c>
      <c r="GB5" s="8" t="inlineStr">
        <is>
          <t>A_STARTUP_PLATEAU_UP__lot_exclusion_reason</t>
        </is>
      </c>
      <c r="GC5" s="8" t="inlineStr">
        <is>
          <t>A_POST_SHEAR_PLATEAU__include_in_lot_stats</t>
        </is>
      </c>
      <c r="GD5" s="8" t="inlineStr">
        <is>
          <t>A_POST_SHEAR_PLATEAU__stat_value</t>
        </is>
      </c>
      <c r="GE5" s="8" t="inlineStr">
        <is>
          <t>A_POST_SHEAR_PLATEAU__lot_exclusion_reason</t>
        </is>
      </c>
      <c r="GF5" s="8" t="inlineStr">
        <is>
          <t>A_PLATEAU_RETENTION__include_in_lot_stats</t>
        </is>
      </c>
      <c r="GG5" s="8" t="inlineStr">
        <is>
          <t>A_PLATEAU_RETENTION__stat_value</t>
        </is>
      </c>
      <c r="GH5" s="8" t="inlineStr">
        <is>
          <t>A_PLATEAU_RETENTION__lot_exclusion_reason</t>
        </is>
      </c>
      <c r="GI5" s="8" t="inlineStr">
        <is>
          <t>A_TQ_L__include_in_lot_stats</t>
        </is>
      </c>
      <c r="GJ5" s="8" t="inlineStr">
        <is>
          <t>A_TQ_L__stat_value</t>
        </is>
      </c>
      <c r="GK5" s="8" t="inlineStr">
        <is>
          <t>A_TQ_L__lot_exclusion_reason</t>
        </is>
      </c>
      <c r="GL5" s="8" t="inlineStr">
        <is>
          <t>A_RES_L__include_in_lot_stats</t>
        </is>
      </c>
      <c r="GM5" s="8" t="inlineStr">
        <is>
          <t>A_RES_L__stat_value</t>
        </is>
      </c>
      <c r="GN5" s="8" t="inlineStr">
        <is>
          <t>A_RES_L__lot_exclusion_reason</t>
        </is>
      </c>
      <c r="GO5" s="8" t="inlineStr">
        <is>
          <t>A_DUL_FLOOR__include_in_lot_stats</t>
        </is>
      </c>
      <c r="GP5" s="8" t="inlineStr">
        <is>
          <t>A_DUL_FLOOR__stat_value</t>
        </is>
      </c>
      <c r="GQ5" s="8" t="inlineStr">
        <is>
          <t>A_DUL_FLOOR__lot_exclusion_reason</t>
        </is>
      </c>
      <c r="GR5" s="8" t="inlineStr">
        <is>
          <t>A_EQ_DRIFT_MAX__include_in_lot_stats</t>
        </is>
      </c>
      <c r="GS5" s="8" t="inlineStr">
        <is>
          <t>A_EQ_DRIFT_MAX__stat_value</t>
        </is>
      </c>
      <c r="GT5" s="8" t="inlineStr">
        <is>
          <t>A_EQ_DRIFT_MAX__lot_exclusion_reason</t>
        </is>
      </c>
      <c r="GU5" s="8" t="inlineStr">
        <is>
          <t>A_TEMP_MEAN__include_in_lot_stats</t>
        </is>
      </c>
      <c r="GV5" s="8" t="inlineStr">
        <is>
          <t>A_TEMP_MEAN__stat_value</t>
        </is>
      </c>
      <c r="GW5" s="8" t="inlineStr">
        <is>
          <t>A_TEMP_MEAN__lot_exclusion_reason</t>
        </is>
      </c>
      <c r="GX5" s="8" t="inlineStr">
        <is>
          <t>A_TEMP_SPAN__include_in_lot_stats</t>
        </is>
      </c>
      <c r="GY5" s="8" t="inlineStr">
        <is>
          <t>A_TEMP_SPAN__stat_value</t>
        </is>
      </c>
      <c r="GZ5" s="8" t="inlineStr">
        <is>
          <t>A_TEMP_SPAN__lot_exclusion_reason</t>
        </is>
      </c>
      <c r="HA5" s="8" t="inlineStr">
        <is>
          <t>A_N_QUANT__include_in_lot_stats</t>
        </is>
      </c>
      <c r="HB5" s="8" t="inlineStr">
        <is>
          <t>A_N_QUANT__stat_value</t>
        </is>
      </c>
      <c r="HC5" s="8" t="inlineStr">
        <is>
          <t>A_N_QUANT__lot_exclusion_reason</t>
        </is>
      </c>
      <c r="HD5" s="8" t="inlineStr">
        <is>
          <t>A_SSI_FIELD_0P2_2_value</t>
        </is>
      </c>
      <c r="HE5" s="8" t="inlineStr">
        <is>
          <t>A_SSI_FIELD_0P2_2_num_rpm</t>
        </is>
      </c>
      <c r="HF5" s="8" t="inlineStr">
        <is>
          <t>A_SSI_FIELD_0P2_2_den_rpm</t>
        </is>
      </c>
      <c r="HG5" s="8" t="inlineStr">
        <is>
          <t>A_SSI_FIELD_0P2_2_num_step</t>
        </is>
      </c>
      <c r="HH5" s="8" t="inlineStr">
        <is>
          <t>A_SSI_FIELD_0P2_2_den_step</t>
        </is>
      </c>
      <c r="HI5" s="8" t="inlineStr">
        <is>
          <t>A_SSI_FIELD_0P2_2_value_class</t>
        </is>
      </c>
      <c r="HJ5" s="8" t="inlineStr">
        <is>
          <t>A_SSI_QC_0P5_5_value</t>
        </is>
      </c>
      <c r="HK5" s="8" t="inlineStr">
        <is>
          <t>A_SSI_QC_0P5_5_num_rpm</t>
        </is>
      </c>
      <c r="HL5" s="8" t="inlineStr">
        <is>
          <t>A_SSI_QC_0P5_5_den_rpm</t>
        </is>
      </c>
      <c r="HM5" s="8" t="inlineStr">
        <is>
          <t>A_SSI_QC_0P5_5_num_step</t>
        </is>
      </c>
      <c r="HN5" s="8" t="inlineStr">
        <is>
          <t>A_SSI_QC_0P5_5_den_step</t>
        </is>
      </c>
      <c r="HO5" s="8" t="inlineStr">
        <is>
          <t>A_SSI_QC_0P5_5_value_class</t>
        </is>
      </c>
      <c r="HP5" s="8" t="inlineStr">
        <is>
          <t>A_TAU_H_UP_rpm</t>
        </is>
      </c>
      <c r="HQ5" s="8" t="inlineStr">
        <is>
          <t>A_TAU_H_UP_step</t>
        </is>
      </c>
      <c r="HR5" s="8" t="inlineStr">
        <is>
          <t>A_ETA_HIGH_rpm</t>
        </is>
      </c>
      <c r="HS5" s="8" t="inlineStr">
        <is>
          <t>A_ETA_HIGH_step</t>
        </is>
      </c>
      <c r="HT5" s="8" t="inlineStr">
        <is>
          <t>A_TAU_L_UP_class</t>
        </is>
      </c>
      <c r="HU5" s="8" t="inlineStr">
        <is>
          <t>A_TAU_M_UP_class</t>
        </is>
      </c>
      <c r="HV5" s="8" t="inlineStr">
        <is>
          <t>A_TAU_H_UP_class</t>
        </is>
      </c>
      <c r="HW5" s="8" t="inlineStr">
        <is>
          <t>A_SSI_FIELD_0P2_2_class</t>
        </is>
      </c>
      <c r="HX5" s="8" t="inlineStr">
        <is>
          <t>A_SSI_QC_0P5_5_class</t>
        </is>
      </c>
      <c r="HY5" s="8" t="inlineStr">
        <is>
          <t>A_DU_L_class</t>
        </is>
      </c>
      <c r="HZ5" s="8" t="inlineStr">
        <is>
          <t>A_DU_M_class</t>
        </is>
      </c>
      <c r="IA5" s="8" t="inlineStr">
        <is>
          <t>A_HYS_REL_class</t>
        </is>
      </c>
      <c r="IB5" s="8" t="inlineStr">
        <is>
          <t>A_BRK_PEAK_class</t>
        </is>
      </c>
      <c r="IC5" s="8" t="inlineStr">
        <is>
          <t>A_HB_TAUY_UP_class</t>
        </is>
      </c>
      <c r="ID5" s="8" t="inlineStr">
        <is>
          <t>A_HB_K_UP_class</t>
        </is>
      </c>
      <c r="IE5" s="8" t="inlineStr">
        <is>
          <t>A_HB_N_UP_class</t>
        </is>
      </c>
      <c r="IF5" s="8" t="inlineStr">
        <is>
          <t>A_HB_R2_UP_class</t>
        </is>
      </c>
      <c r="IG5" s="8" t="inlineStr">
        <is>
          <t>A_HB_R2_DN_class</t>
        </is>
      </c>
      <c r="IH5" s="8" t="inlineStr">
        <is>
          <t>A_HB_TAUY_DN_class</t>
        </is>
      </c>
      <c r="II5" s="8" t="inlineStr">
        <is>
          <t>A_HB_K_DN_class</t>
        </is>
      </c>
      <c r="IJ5" s="8" t="inlineStr">
        <is>
          <t>A_HB_N_DN_class</t>
        </is>
      </c>
      <c r="IK5" s="8" t="inlineStr">
        <is>
          <t>A_HB_TAUY_RATIO_class</t>
        </is>
      </c>
      <c r="IL5" s="8" t="inlineStr">
        <is>
          <t>A_HDI_class</t>
        </is>
      </c>
      <c r="IM5" s="8" t="inlineStr">
        <is>
          <t>A_OVS_L_class</t>
        </is>
      </c>
      <c r="IN5" s="8" t="inlineStr">
        <is>
          <t>A_HB_GRANGE_class</t>
        </is>
      </c>
      <c r="IO5" s="8" t="inlineStr">
        <is>
          <t>A_ETA_MIN_UP_class</t>
        </is>
      </c>
      <c r="IP5" s="8" t="inlineStr">
        <is>
          <t>A_ETA_HIGH_class</t>
        </is>
      </c>
      <c r="IQ5" s="8" t="inlineStr">
        <is>
          <t>A_ETA_LOW_DN_class</t>
        </is>
      </c>
      <c r="IR5" s="8" t="inlineStr">
        <is>
          <t>A_STATIC_YIELD_APPROX_UP_class</t>
        </is>
      </c>
      <c r="IS5" s="8" t="inlineStr">
        <is>
          <t>A_POST_SHEAR_STARTUP_STRESS_class</t>
        </is>
      </c>
      <c r="IT5" s="8" t="inlineStr">
        <is>
          <t>A_POST_SHEAR_STRESS_RETENTION_class</t>
        </is>
      </c>
      <c r="IU5" s="8" t="inlineStr">
        <is>
          <t>A_ETA_RECOVERY_LOW_class</t>
        </is>
      </c>
      <c r="IV5" s="8" t="inlineStr">
        <is>
          <t>A_HYS_AREA_SIGNED_class</t>
        </is>
      </c>
      <c r="IW5" s="8" t="inlineStr">
        <is>
          <t>A_HYS_AREA_ABS_class</t>
        </is>
      </c>
      <c r="IX5" s="8" t="inlineStr">
        <is>
          <t>A_HB_K_RATIO_class</t>
        </is>
      </c>
      <c r="IY5" s="8" t="inlineStr">
        <is>
          <t>A_HB_N_DIFF_class</t>
        </is>
      </c>
      <c r="IZ5" s="8" t="inlineStr">
        <is>
          <t>A_HB_TAUY_UP_COMMON_class</t>
        </is>
      </c>
      <c r="JA5" s="8" t="inlineStr">
        <is>
          <t>A_HB_K_UP_COMMON_class</t>
        </is>
      </c>
      <c r="JB5" s="8" t="inlineStr">
        <is>
          <t>A_HB_N_UP_COMMON_class</t>
        </is>
      </c>
      <c r="JC5" s="8" t="inlineStr">
        <is>
          <t>A_HB_R2_UP_COMMON_class</t>
        </is>
      </c>
      <c r="JD5" s="8" t="inlineStr">
        <is>
          <t>A_HB_TAUY_DN_COMMON_class</t>
        </is>
      </c>
      <c r="JE5" s="8" t="inlineStr">
        <is>
          <t>A_HB_K_DN_COMMON_class</t>
        </is>
      </c>
      <c r="JF5" s="8" t="inlineStr">
        <is>
          <t>A_HB_N_DN_COMMON_class</t>
        </is>
      </c>
      <c r="JG5" s="8" t="inlineStr">
        <is>
          <t>A_HB_R2_DN_COMMON_class</t>
        </is>
      </c>
      <c r="JH5" s="8" t="inlineStr">
        <is>
          <t>A_HB_TAUY_RATIO_COMMON_class</t>
        </is>
      </c>
      <c r="JI5" s="8" t="inlineStr">
        <is>
          <t>A_STARTUP_PLATEAU_UP_class</t>
        </is>
      </c>
      <c r="JJ5" s="8" t="inlineStr">
        <is>
          <t>A_POST_SHEAR_PLATEAU_class</t>
        </is>
      </c>
      <c r="JK5" s="8" t="inlineStr">
        <is>
          <t>A_PLATEAU_RETENTION_class</t>
        </is>
      </c>
      <c r="JL5" s="8" t="inlineStr">
        <is>
          <t>A_TQ_L_class</t>
        </is>
      </c>
      <c r="JM5" s="8" t="inlineStr">
        <is>
          <t>A_RES_L_class</t>
        </is>
      </c>
      <c r="JN5" s="8" t="inlineStr">
        <is>
          <t>A_DUL_FLOOR_class</t>
        </is>
      </c>
      <c r="JO5" s="8" t="inlineStr">
        <is>
          <t>A_EQ_DRIFT_MAX_class</t>
        </is>
      </c>
      <c r="JP5" s="8" t="inlineStr">
        <is>
          <t>A_TEMP_MEAN_class</t>
        </is>
      </c>
      <c r="JQ5" s="8" t="inlineStr">
        <is>
          <t>A_TEMP_SPAN_class</t>
        </is>
      </c>
      <c r="JR5" s="8" t="inlineStr">
        <is>
          <t>A_N_QUANT_class</t>
        </is>
      </c>
    </row>
    <row r="6">
      <c r="B6" t="inlineStr">
        <is>
          <t>SYN</t>
        </is>
      </c>
      <c r="C6" t="inlineStr">
        <is>
          <t>01</t>
        </is>
      </c>
      <c r="D6" t="inlineStr">
        <is>
          <t>HT-SYN-01.csv</t>
        </is>
      </c>
      <c r="E6" t="inlineStr"/>
      <c r="F6" t="inlineStr">
        <is>
          <t>INCLUSIVE</t>
        </is>
      </c>
      <c r="G6" t="inlineStr">
        <is>
          <t>VALID</t>
        </is>
      </c>
      <c r="H6" s="19" t="n">
        <v>200</v>
      </c>
      <c r="I6" s="19" t="n">
        <v>200</v>
      </c>
      <c r="J6" s="19" t="n">
        <v>200</v>
      </c>
      <c r="K6" s="20" t="n">
        <v>10</v>
      </c>
      <c r="L6" s="20" t="n">
        <v>10</v>
      </c>
      <c r="M6" s="19" t="n"/>
      <c r="N6" s="19" t="n"/>
      <c r="O6" s="19" t="n"/>
      <c r="P6" s="19" t="n">
        <v>0</v>
      </c>
      <c r="Q6" s="19" t="n">
        <v>199.9999997267373</v>
      </c>
      <c r="R6" s="20" t="n">
        <v>2.809774289344664e-07</v>
      </c>
      <c r="S6" s="20" t="n">
        <v>0.05000295281845908</v>
      </c>
      <c r="T6" s="20" t="n"/>
      <c r="U6" s="20" t="n"/>
      <c r="V6" s="19" t="n"/>
      <c r="W6" s="20" t="n"/>
      <c r="X6" s="20" t="n"/>
      <c r="Y6" s="19" t="n"/>
      <c r="Z6" s="19" t="n"/>
      <c r="AA6" s="19" t="n">
        <v>0</v>
      </c>
      <c r="AB6" s="20" t="n">
        <v>25</v>
      </c>
      <c r="AC6" s="21" t="n">
        <v>500000</v>
      </c>
      <c r="AD6" s="21" t="n">
        <v>20000</v>
      </c>
      <c r="AE6" s="21" t="n"/>
      <c r="AF6" s="19" t="n">
        <v>200</v>
      </c>
      <c r="AG6" s="19" t="n"/>
      <c r="AH6" s="19" t="n"/>
      <c r="AI6" s="19" t="n"/>
      <c r="AJ6" s="19" t="n"/>
      <c r="AK6" s="19" t="n"/>
      <c r="AL6" s="19" t="n"/>
      <c r="AM6" s="20" t="n"/>
      <c r="AN6" s="19" t="n"/>
      <c r="AO6" s="20" t="n"/>
      <c r="AP6" s="20" t="n"/>
      <c r="AQ6" s="20" t="n"/>
      <c r="AR6" s="19" t="n"/>
      <c r="AS6" s="20" t="n"/>
      <c r="AT6" s="20" t="n"/>
      <c r="AU6" s="20" t="n"/>
      <c r="AV6" s="19" t="n"/>
      <c r="AW6" s="19" t="n"/>
      <c r="AX6" s="19" t="n"/>
      <c r="AY6" s="19" t="n"/>
      <c r="AZ6" s="19" t="n">
        <v>20</v>
      </c>
      <c r="BA6" s="19" t="n">
        <v>0.5</v>
      </c>
      <c r="BB6" s="19" t="n">
        <v>50</v>
      </c>
      <c r="BC6" s="19" t="n">
        <v>3.396218997857658e-14</v>
      </c>
      <c r="BD6" s="19" t="n">
        <v>25</v>
      </c>
      <c r="BE6" s="19" t="n">
        <v>0</v>
      </c>
      <c r="BF6" s="22" t="n">
        <v>10</v>
      </c>
      <c r="BG6" t="n">
        <v>1</v>
      </c>
      <c r="BH6" t="n">
        <v>200</v>
      </c>
      <c r="BI6" t="inlineStr"/>
      <c r="BJ6" t="n">
        <v>1</v>
      </c>
      <c r="BK6" t="n">
        <v>200</v>
      </c>
      <c r="BL6" t="inlineStr"/>
      <c r="BM6" t="n">
        <v>1</v>
      </c>
      <c r="BN6" t="n">
        <v>200</v>
      </c>
      <c r="BO6" t="inlineStr"/>
      <c r="BP6" t="n">
        <v>1</v>
      </c>
      <c r="BQ6" t="n">
        <v>10</v>
      </c>
      <c r="BR6" t="inlineStr"/>
      <c r="BS6" t="n">
        <v>1</v>
      </c>
      <c r="BT6" t="n">
        <v>10</v>
      </c>
      <c r="BU6" t="inlineStr"/>
      <c r="BV6" t="n">
        <v>0</v>
      </c>
      <c r="BX6" t="inlineStr">
        <is>
          <t>non-finite</t>
        </is>
      </c>
      <c r="BY6" t="n">
        <v>0</v>
      </c>
      <c r="CA6" t="inlineStr">
        <is>
          <t>non-finite</t>
        </is>
      </c>
      <c r="CB6" t="n">
        <v>0</v>
      </c>
      <c r="CD6" t="inlineStr">
        <is>
          <t>non-finite</t>
        </is>
      </c>
      <c r="CE6" t="n">
        <v>1</v>
      </c>
      <c r="CF6" t="n">
        <v>0</v>
      </c>
      <c r="CG6" t="inlineStr"/>
      <c r="CH6" t="n">
        <v>1</v>
      </c>
      <c r="CI6" t="n">
        <v>199.9999997267373</v>
      </c>
      <c r="CJ6" t="inlineStr"/>
      <c r="CK6" t="n">
        <v>1</v>
      </c>
      <c r="CL6" t="n">
        <v>2.809774289344664e-07</v>
      </c>
      <c r="CM6" t="inlineStr"/>
      <c r="CN6" t="n">
        <v>1</v>
      </c>
      <c r="CO6" t="n">
        <v>0.05000295281845908</v>
      </c>
      <c r="CP6" t="inlineStr"/>
      <c r="CQ6" t="n">
        <v>0</v>
      </c>
      <c r="CS6" t="inlineStr">
        <is>
          <t>non-finite</t>
        </is>
      </c>
      <c r="CT6" t="n">
        <v>0</v>
      </c>
      <c r="CV6" t="inlineStr">
        <is>
          <t>non-finite</t>
        </is>
      </c>
      <c r="CW6" t="n">
        <v>0</v>
      </c>
      <c r="CY6" t="inlineStr">
        <is>
          <t>non-finite</t>
        </is>
      </c>
      <c r="CZ6" t="n">
        <v>0</v>
      </c>
      <c r="DB6" t="inlineStr">
        <is>
          <t>non-finite</t>
        </is>
      </c>
      <c r="DC6" t="n">
        <v>0</v>
      </c>
      <c r="DE6" t="inlineStr">
        <is>
          <t>non-finite</t>
        </is>
      </c>
      <c r="DF6" t="n">
        <v>0</v>
      </c>
      <c r="DH6" t="inlineStr">
        <is>
          <t>non-finite</t>
        </is>
      </c>
      <c r="DI6" t="n">
        <v>0</v>
      </c>
      <c r="DK6" t="inlineStr">
        <is>
          <t>non-finite</t>
        </is>
      </c>
      <c r="DL6" t="n">
        <v>1</v>
      </c>
      <c r="DM6" t="n">
        <v>0</v>
      </c>
      <c r="DN6" t="inlineStr"/>
      <c r="DO6" t="n">
        <v>1</v>
      </c>
      <c r="DP6" t="n">
        <v>25</v>
      </c>
      <c r="DQ6" t="inlineStr"/>
      <c r="DR6" t="n">
        <v>1</v>
      </c>
      <c r="DS6" t="n">
        <v>500000</v>
      </c>
      <c r="DT6" t="inlineStr"/>
      <c r="DU6" t="n">
        <v>1</v>
      </c>
      <c r="DV6" t="n">
        <v>20000</v>
      </c>
      <c r="DW6" t="inlineStr"/>
      <c r="DX6" t="n">
        <v>0</v>
      </c>
      <c r="DZ6" t="inlineStr">
        <is>
          <t>non-finite</t>
        </is>
      </c>
      <c r="EA6" t="n">
        <v>1</v>
      </c>
      <c r="EB6" t="n">
        <v>200</v>
      </c>
      <c r="EC6" t="inlineStr"/>
      <c r="ED6" t="n">
        <v>0</v>
      </c>
      <c r="EF6" t="inlineStr">
        <is>
          <t>non-finite</t>
        </is>
      </c>
      <c r="EG6" t="n">
        <v>0</v>
      </c>
      <c r="EI6" t="inlineStr">
        <is>
          <t>non-finite</t>
        </is>
      </c>
      <c r="EJ6" t="n">
        <v>0</v>
      </c>
      <c r="EL6" t="inlineStr">
        <is>
          <t>non-finite</t>
        </is>
      </c>
      <c r="EM6" t="n">
        <v>0</v>
      </c>
      <c r="EO6" t="inlineStr">
        <is>
          <t>non-finite</t>
        </is>
      </c>
      <c r="EP6" t="n">
        <v>0</v>
      </c>
      <c r="ER6" t="inlineStr">
        <is>
          <t>non-finite</t>
        </is>
      </c>
      <c r="ES6" t="n">
        <v>0</v>
      </c>
      <c r="EU6" t="inlineStr">
        <is>
          <t>non-finite</t>
        </is>
      </c>
      <c r="EV6" t="n">
        <v>0</v>
      </c>
      <c r="EX6" t="inlineStr">
        <is>
          <t>non-finite</t>
        </is>
      </c>
      <c r="EY6" t="n">
        <v>0</v>
      </c>
      <c r="FA6" t="inlineStr">
        <is>
          <t>non-finite</t>
        </is>
      </c>
      <c r="FB6" t="n">
        <v>0</v>
      </c>
      <c r="FD6" t="inlineStr">
        <is>
          <t>non-finite</t>
        </is>
      </c>
      <c r="FE6" t="n">
        <v>0</v>
      </c>
      <c r="FG6" t="inlineStr">
        <is>
          <t>non-finite</t>
        </is>
      </c>
      <c r="FH6" t="n">
        <v>0</v>
      </c>
      <c r="FJ6" t="inlineStr">
        <is>
          <t>non-finite</t>
        </is>
      </c>
      <c r="FK6" t="n">
        <v>0</v>
      </c>
      <c r="FM6" t="inlineStr">
        <is>
          <t>non-finite</t>
        </is>
      </c>
      <c r="FN6" t="n">
        <v>0</v>
      </c>
      <c r="FP6" t="inlineStr">
        <is>
          <t>non-finite</t>
        </is>
      </c>
      <c r="FQ6" t="n">
        <v>0</v>
      </c>
      <c r="FS6" t="inlineStr">
        <is>
          <t>non-finite</t>
        </is>
      </c>
      <c r="FT6" t="n">
        <v>0</v>
      </c>
      <c r="FV6" t="inlineStr">
        <is>
          <t>non-finite</t>
        </is>
      </c>
      <c r="FW6" t="n">
        <v>0</v>
      </c>
      <c r="FY6" t="inlineStr">
        <is>
          <t>non-finite</t>
        </is>
      </c>
      <c r="FZ6" t="n">
        <v>0</v>
      </c>
      <c r="GB6" t="inlineStr">
        <is>
          <t>non-finite</t>
        </is>
      </c>
      <c r="GC6" t="n">
        <v>0</v>
      </c>
      <c r="GE6" t="inlineStr">
        <is>
          <t>non-finite</t>
        </is>
      </c>
      <c r="GF6" t="n">
        <v>0</v>
      </c>
      <c r="GH6" t="inlineStr">
        <is>
          <t>non-finite</t>
        </is>
      </c>
      <c r="GI6" t="n">
        <v>1</v>
      </c>
      <c r="GJ6" t="n">
        <v>20</v>
      </c>
      <c r="GK6" t="inlineStr"/>
      <c r="GL6" t="n">
        <v>1</v>
      </c>
      <c r="GM6" t="n">
        <v>0.5</v>
      </c>
      <c r="GN6" t="inlineStr"/>
      <c r="GO6" t="n">
        <v>1</v>
      </c>
      <c r="GP6" t="n">
        <v>50</v>
      </c>
      <c r="GQ6" t="inlineStr"/>
      <c r="GR6" t="n">
        <v>1</v>
      </c>
      <c r="GS6" t="n">
        <v>3.396218997857658e-14</v>
      </c>
      <c r="GT6" t="inlineStr"/>
      <c r="GU6" t="n">
        <v>1</v>
      </c>
      <c r="GV6" t="n">
        <v>25</v>
      </c>
      <c r="GW6" t="inlineStr"/>
      <c r="GX6" t="n">
        <v>1</v>
      </c>
      <c r="GY6" t="n">
        <v>0</v>
      </c>
      <c r="GZ6" t="inlineStr"/>
      <c r="HA6" t="n">
        <v>1</v>
      </c>
      <c r="HB6" t="n">
        <v>10</v>
      </c>
      <c r="HC6" t="inlineStr"/>
      <c r="HD6" t="n">
        <v>10</v>
      </c>
      <c r="HE6" t="n">
        <v>0.2</v>
      </c>
      <c r="HF6" t="n">
        <v>2</v>
      </c>
      <c r="HG6" t="inlineStr">
        <is>
          <t>S2</t>
        </is>
      </c>
      <c r="HH6" t="inlineStr">
        <is>
          <t>S8</t>
        </is>
      </c>
      <c r="HI6" t="inlineStr">
        <is>
          <t>strict 정량값</t>
        </is>
      </c>
      <c r="HJ6" t="n">
        <v>10</v>
      </c>
      <c r="HK6" t="n">
        <v>0.5</v>
      </c>
      <c r="HL6" t="n">
        <v>5</v>
      </c>
      <c r="HM6" t="inlineStr">
        <is>
          <t>S4</t>
        </is>
      </c>
      <c r="HN6" t="inlineStr">
        <is>
          <t>S11</t>
        </is>
      </c>
      <c r="HO6" t="inlineStr">
        <is>
          <t>strict 정량값</t>
        </is>
      </c>
      <c r="HP6" t="n">
        <v>5</v>
      </c>
      <c r="HQ6" t="inlineStr">
        <is>
          <t>S11</t>
        </is>
      </c>
      <c r="HR6" t="n">
        <v>5</v>
      </c>
      <c r="HS6" t="inlineStr">
        <is>
          <t>S11</t>
        </is>
      </c>
      <c r="HT6" t="inlineStr">
        <is>
          <t>strict 정량값</t>
        </is>
      </c>
      <c r="HU6" t="inlineStr">
        <is>
          <t>strict 정량값</t>
        </is>
      </c>
      <c r="HV6" t="inlineStr">
        <is>
          <t>strict 정량값</t>
        </is>
      </c>
      <c r="HW6" t="inlineStr">
        <is>
          <t>strict 정량값</t>
        </is>
      </c>
      <c r="HX6" t="inlineStr">
        <is>
          <t>strict 정량값</t>
        </is>
      </c>
      <c r="HY6" t="inlineStr">
        <is>
          <t>strict 정량값</t>
        </is>
      </c>
      <c r="HZ6" t="inlineStr">
        <is>
          <t>strict 정량값</t>
        </is>
      </c>
      <c r="IA6" t="inlineStr">
        <is>
          <t>NO VALUE</t>
        </is>
      </c>
      <c r="IB6" t="inlineStr">
        <is>
          <t>strict 정량값</t>
        </is>
      </c>
      <c r="IC6" t="inlineStr">
        <is>
          <t>strict 정량값</t>
        </is>
      </c>
      <c r="ID6" t="inlineStr">
        <is>
          <t>strict 정량값</t>
        </is>
      </c>
      <c r="IE6" t="inlineStr">
        <is>
          <t>strict 정량값</t>
        </is>
      </c>
      <c r="IF6" t="inlineStr">
        <is>
          <t>strict 정량값</t>
        </is>
      </c>
      <c r="IG6" t="inlineStr">
        <is>
          <t>NO VALUE</t>
        </is>
      </c>
      <c r="IH6" t="inlineStr">
        <is>
          <t>NO VALUE</t>
        </is>
      </c>
      <c r="II6" t="inlineStr">
        <is>
          <t>NO VALUE</t>
        </is>
      </c>
      <c r="IJ6" t="inlineStr">
        <is>
          <t>NO VALUE</t>
        </is>
      </c>
      <c r="IK6" t="inlineStr">
        <is>
          <t>strict 정량값</t>
        </is>
      </c>
      <c r="IL6" t="inlineStr">
        <is>
          <t>NO VALUE</t>
        </is>
      </c>
      <c r="IM6" t="inlineStr">
        <is>
          <t>strict 정량값</t>
        </is>
      </c>
      <c r="IN6" t="inlineStr">
        <is>
          <t>strict 정량값</t>
        </is>
      </c>
      <c r="IO6" t="inlineStr">
        <is>
          <t>strict 정량값</t>
        </is>
      </c>
      <c r="IP6" t="inlineStr">
        <is>
          <t>strict 정량값</t>
        </is>
      </c>
      <c r="IQ6" t="inlineStr">
        <is>
          <t>NO VALUE</t>
        </is>
      </c>
      <c r="IR6" t="inlineStr">
        <is>
          <t>strict 정량값</t>
        </is>
      </c>
      <c r="IS6" t="inlineStr">
        <is>
          <t>NO VALUE</t>
        </is>
      </c>
      <c r="IT6" t="inlineStr">
        <is>
          <t>NO VALUE</t>
        </is>
      </c>
      <c r="IU6" t="inlineStr">
        <is>
          <t>NO VALUE</t>
        </is>
      </c>
      <c r="IV6" t="inlineStr">
        <is>
          <t>NO VALUE</t>
        </is>
      </c>
      <c r="IW6" t="inlineStr">
        <is>
          <t>NO VALUE</t>
        </is>
      </c>
      <c r="IX6" t="inlineStr">
        <is>
          <t>strict 정량값</t>
        </is>
      </c>
      <c r="IY6" t="inlineStr">
        <is>
          <t>strict 정량값</t>
        </is>
      </c>
      <c r="IZ6" t="inlineStr">
        <is>
          <t>NO VALUE</t>
        </is>
      </c>
      <c r="JA6" t="inlineStr">
        <is>
          <t>NO VALUE</t>
        </is>
      </c>
      <c r="JB6" t="inlineStr">
        <is>
          <t>NO VALUE</t>
        </is>
      </c>
      <c r="JC6" t="inlineStr">
        <is>
          <t>NO VALUE</t>
        </is>
      </c>
      <c r="JD6" t="inlineStr">
        <is>
          <t>NO VALUE</t>
        </is>
      </c>
      <c r="JE6" t="inlineStr">
        <is>
          <t>NO VALUE</t>
        </is>
      </c>
      <c r="JF6" t="inlineStr">
        <is>
          <t>NO VALUE</t>
        </is>
      </c>
      <c r="JG6" t="inlineStr">
        <is>
          <t>NO VALUE</t>
        </is>
      </c>
      <c r="JH6" t="inlineStr">
        <is>
          <t>NO VALUE</t>
        </is>
      </c>
      <c r="JI6" t="inlineStr">
        <is>
          <t>NO VALUE</t>
        </is>
      </c>
      <c r="JJ6" t="inlineStr">
        <is>
          <t>NO VALUE</t>
        </is>
      </c>
      <c r="JK6" t="inlineStr">
        <is>
          <t>NO VALUE</t>
        </is>
      </c>
      <c r="JL6" t="inlineStr">
        <is>
          <t>strict 정량값</t>
        </is>
      </c>
      <c r="JM6" t="inlineStr">
        <is>
          <t>strict 정량값</t>
        </is>
      </c>
      <c r="JN6" t="inlineStr">
        <is>
          <t>strict 정량값</t>
        </is>
      </c>
      <c r="JO6" t="inlineStr">
        <is>
          <t>strict 정량값</t>
        </is>
      </c>
      <c r="JP6" t="inlineStr">
        <is>
          <t>strict 정량값</t>
        </is>
      </c>
      <c r="JQ6" t="inlineStr">
        <is>
          <t>strict 정량값</t>
        </is>
      </c>
      <c r="JR6" t="inlineStr">
        <is>
          <t>strict 정량값</t>
        </is>
      </c>
    </row>
  </sheetData>
  <mergeCells count="3">
    <mergeCell ref="B3:P3"/>
    <mergeCell ref="B2:P2"/>
    <mergeCell ref="B4:P4"/>
  </mergeCells>
  <conditionalFormatting sqref="HI6">
    <cfRule type="expression" priority="1" dxfId="0" stopIfTrue="1">
      <formula>$HI6="strict 정량값"</formula>
    </cfRule>
    <cfRule type="expression" priority="2" dxfId="8" stopIfTrue="1">
      <formula>$HI6="inclusive exception"</formula>
    </cfRule>
    <cfRule type="expression" priority="3" dxfId="6" stopIfTrue="1">
      <formula>$HI6="torque 하한 밖 참고값"</formula>
    </cfRule>
    <cfRule type="expression" priority="4" dxfId="6" stopIfTrue="1">
      <formula>$HI6="torque 상한 밖 참고값"</formula>
    </cfRule>
    <cfRule type="expression" priority="5" dxfId="6" stopIfTrue="1">
      <formula>$HI6="torque 범위 밖 참고값"</formula>
    </cfRule>
    <cfRule type="expression" priority="6" dxfId="5" stopIfTrue="1">
      <formula>$HI6="NO VALUE"</formula>
    </cfRule>
    <cfRule type="expression" priority="7" dxfId="4" stopIfTrue="1">
      <formula>$HI6="INVALID"</formula>
    </cfRule>
  </conditionalFormatting>
  <conditionalFormatting sqref="HO6">
    <cfRule type="expression" priority="8" dxfId="0" stopIfTrue="1">
      <formula>$HO6="strict 정량값"</formula>
    </cfRule>
    <cfRule type="expression" priority="9" dxfId="8" stopIfTrue="1">
      <formula>$HO6="inclusive exception"</formula>
    </cfRule>
    <cfRule type="expression" priority="10" dxfId="6" stopIfTrue="1">
      <formula>$HO6="torque 하한 밖 참고값"</formula>
    </cfRule>
    <cfRule type="expression" priority="11" dxfId="6" stopIfTrue="1">
      <formula>$HO6="torque 상한 밖 참고값"</formula>
    </cfRule>
    <cfRule type="expression" priority="12" dxfId="6" stopIfTrue="1">
      <formula>$HO6="torque 범위 밖 참고값"</formula>
    </cfRule>
    <cfRule type="expression" priority="13" dxfId="5" stopIfTrue="1">
      <formula>$HO6="NO VALUE"</formula>
    </cfRule>
    <cfRule type="expression" priority="14" dxfId="4" stopIfTrue="1">
      <formula>$HO6="INVALID"</formula>
    </cfRule>
  </conditionalFormatting>
  <conditionalFormatting sqref="HT6">
    <cfRule type="expression" priority="15" dxfId="0" stopIfTrue="1">
      <formula>$HT6="strict 정량값"</formula>
    </cfRule>
    <cfRule type="expression" priority="16" dxfId="8" stopIfTrue="1">
      <formula>$HT6="inclusive exception"</formula>
    </cfRule>
    <cfRule type="expression" priority="17" dxfId="6" stopIfTrue="1">
      <formula>$HT6="torque 하한 밖 참고값"</formula>
    </cfRule>
    <cfRule type="expression" priority="18" dxfId="6" stopIfTrue="1">
      <formula>$HT6="torque 상한 밖 참고값"</formula>
    </cfRule>
    <cfRule type="expression" priority="19" dxfId="6" stopIfTrue="1">
      <formula>$HT6="torque 범위 밖 참고값"</formula>
    </cfRule>
    <cfRule type="expression" priority="20" dxfId="5" stopIfTrue="1">
      <formula>$HT6="NO VALUE"</formula>
    </cfRule>
    <cfRule type="expression" priority="21" dxfId="4" stopIfTrue="1">
      <formula>$HT6="INVALID"</formula>
    </cfRule>
  </conditionalFormatting>
  <conditionalFormatting sqref="HU6">
    <cfRule type="expression" priority="22" dxfId="0" stopIfTrue="1">
      <formula>$HU6="strict 정량값"</formula>
    </cfRule>
    <cfRule type="expression" priority="23" dxfId="8" stopIfTrue="1">
      <formula>$HU6="inclusive exception"</formula>
    </cfRule>
    <cfRule type="expression" priority="24" dxfId="6" stopIfTrue="1">
      <formula>$HU6="torque 하한 밖 참고값"</formula>
    </cfRule>
    <cfRule type="expression" priority="25" dxfId="6" stopIfTrue="1">
      <formula>$HU6="torque 상한 밖 참고값"</formula>
    </cfRule>
    <cfRule type="expression" priority="26" dxfId="6" stopIfTrue="1">
      <formula>$HU6="torque 범위 밖 참고값"</formula>
    </cfRule>
    <cfRule type="expression" priority="27" dxfId="5" stopIfTrue="1">
      <formula>$HU6="NO VALUE"</formula>
    </cfRule>
    <cfRule type="expression" priority="28" dxfId="4" stopIfTrue="1">
      <formula>$HU6="INVALID"</formula>
    </cfRule>
  </conditionalFormatting>
  <conditionalFormatting sqref="HV6">
    <cfRule type="expression" priority="29" dxfId="0" stopIfTrue="1">
      <formula>$HV6="strict 정량값"</formula>
    </cfRule>
    <cfRule type="expression" priority="30" dxfId="8" stopIfTrue="1">
      <formula>$HV6="inclusive exception"</formula>
    </cfRule>
    <cfRule type="expression" priority="31" dxfId="6" stopIfTrue="1">
      <formula>$HV6="torque 하한 밖 참고값"</formula>
    </cfRule>
    <cfRule type="expression" priority="32" dxfId="6" stopIfTrue="1">
      <formula>$HV6="torque 상한 밖 참고값"</formula>
    </cfRule>
    <cfRule type="expression" priority="33" dxfId="6" stopIfTrue="1">
      <formula>$HV6="torque 범위 밖 참고값"</formula>
    </cfRule>
    <cfRule type="expression" priority="34" dxfId="5" stopIfTrue="1">
      <formula>$HV6="NO VALUE"</formula>
    </cfRule>
    <cfRule type="expression" priority="35" dxfId="4" stopIfTrue="1">
      <formula>$HV6="INVALID"</formula>
    </cfRule>
  </conditionalFormatting>
  <conditionalFormatting sqref="HW6">
    <cfRule type="expression" priority="36" dxfId="0" stopIfTrue="1">
      <formula>$HW6="strict 정량값"</formula>
    </cfRule>
    <cfRule type="expression" priority="37" dxfId="8" stopIfTrue="1">
      <formula>$HW6="inclusive exception"</formula>
    </cfRule>
    <cfRule type="expression" priority="38" dxfId="6" stopIfTrue="1">
      <formula>$HW6="torque 하한 밖 참고값"</formula>
    </cfRule>
    <cfRule type="expression" priority="39" dxfId="6" stopIfTrue="1">
      <formula>$HW6="torque 상한 밖 참고값"</formula>
    </cfRule>
    <cfRule type="expression" priority="40" dxfId="6" stopIfTrue="1">
      <formula>$HW6="torque 범위 밖 참고값"</formula>
    </cfRule>
    <cfRule type="expression" priority="41" dxfId="5" stopIfTrue="1">
      <formula>$HW6="NO VALUE"</formula>
    </cfRule>
    <cfRule type="expression" priority="42" dxfId="4" stopIfTrue="1">
      <formula>$HW6="INVALID"</formula>
    </cfRule>
  </conditionalFormatting>
  <conditionalFormatting sqref="HX6">
    <cfRule type="expression" priority="43" dxfId="0" stopIfTrue="1">
      <formula>$HX6="strict 정량값"</formula>
    </cfRule>
    <cfRule type="expression" priority="44" dxfId="8" stopIfTrue="1">
      <formula>$HX6="inclusive exception"</formula>
    </cfRule>
    <cfRule type="expression" priority="45" dxfId="6" stopIfTrue="1">
      <formula>$HX6="torque 하한 밖 참고값"</formula>
    </cfRule>
    <cfRule type="expression" priority="46" dxfId="6" stopIfTrue="1">
      <formula>$HX6="torque 상한 밖 참고값"</formula>
    </cfRule>
    <cfRule type="expression" priority="47" dxfId="6" stopIfTrue="1">
      <formula>$HX6="torque 범위 밖 참고값"</formula>
    </cfRule>
    <cfRule type="expression" priority="48" dxfId="5" stopIfTrue="1">
      <formula>$HX6="NO VALUE"</formula>
    </cfRule>
    <cfRule type="expression" priority="49" dxfId="4" stopIfTrue="1">
      <formula>$HX6="INVALID"</formula>
    </cfRule>
  </conditionalFormatting>
  <conditionalFormatting sqref="HY6">
    <cfRule type="expression" priority="50" dxfId="0" stopIfTrue="1">
      <formula>$HY6="strict 정량값"</formula>
    </cfRule>
    <cfRule type="expression" priority="51" dxfId="8" stopIfTrue="1">
      <formula>$HY6="inclusive exception"</formula>
    </cfRule>
    <cfRule type="expression" priority="52" dxfId="6" stopIfTrue="1">
      <formula>$HY6="torque 하한 밖 참고값"</formula>
    </cfRule>
    <cfRule type="expression" priority="53" dxfId="6" stopIfTrue="1">
      <formula>$HY6="torque 상한 밖 참고값"</formula>
    </cfRule>
    <cfRule type="expression" priority="54" dxfId="6" stopIfTrue="1">
      <formula>$HY6="torque 범위 밖 참고값"</formula>
    </cfRule>
    <cfRule type="expression" priority="55" dxfId="5" stopIfTrue="1">
      <formula>$HY6="NO VALUE"</formula>
    </cfRule>
    <cfRule type="expression" priority="56" dxfId="4" stopIfTrue="1">
      <formula>$HY6="INVALID"</formula>
    </cfRule>
  </conditionalFormatting>
  <conditionalFormatting sqref="HZ6">
    <cfRule type="expression" priority="57" dxfId="0" stopIfTrue="1">
      <formula>$HZ6="strict 정량값"</formula>
    </cfRule>
    <cfRule type="expression" priority="58" dxfId="8" stopIfTrue="1">
      <formula>$HZ6="inclusive exception"</formula>
    </cfRule>
    <cfRule type="expression" priority="59" dxfId="6" stopIfTrue="1">
      <formula>$HZ6="torque 하한 밖 참고값"</formula>
    </cfRule>
    <cfRule type="expression" priority="60" dxfId="6" stopIfTrue="1">
      <formula>$HZ6="torque 상한 밖 참고값"</formula>
    </cfRule>
    <cfRule type="expression" priority="61" dxfId="6" stopIfTrue="1">
      <formula>$HZ6="torque 범위 밖 참고값"</formula>
    </cfRule>
    <cfRule type="expression" priority="62" dxfId="5" stopIfTrue="1">
      <formula>$HZ6="NO VALUE"</formula>
    </cfRule>
    <cfRule type="expression" priority="63" dxfId="4" stopIfTrue="1">
      <formula>$HZ6="INVALID"</formula>
    </cfRule>
  </conditionalFormatting>
  <conditionalFormatting sqref="IA6">
    <cfRule type="expression" priority="64" dxfId="0" stopIfTrue="1">
      <formula>$IA6="strict 정량값"</formula>
    </cfRule>
    <cfRule type="expression" priority="65" dxfId="8" stopIfTrue="1">
      <formula>$IA6="inclusive exception"</formula>
    </cfRule>
    <cfRule type="expression" priority="66" dxfId="6" stopIfTrue="1">
      <formula>$IA6="torque 하한 밖 참고값"</formula>
    </cfRule>
    <cfRule type="expression" priority="67" dxfId="6" stopIfTrue="1">
      <formula>$IA6="torque 상한 밖 참고값"</formula>
    </cfRule>
    <cfRule type="expression" priority="68" dxfId="6" stopIfTrue="1">
      <formula>$IA6="torque 범위 밖 참고값"</formula>
    </cfRule>
    <cfRule type="expression" priority="69" dxfId="5" stopIfTrue="1">
      <formula>$IA6="NO VALUE"</formula>
    </cfRule>
    <cfRule type="expression" priority="70" dxfId="4" stopIfTrue="1">
      <formula>$IA6="INVALID"</formula>
    </cfRule>
  </conditionalFormatting>
  <conditionalFormatting sqref="IB6">
    <cfRule type="expression" priority="71" dxfId="0" stopIfTrue="1">
      <formula>$IB6="strict 정량값"</formula>
    </cfRule>
    <cfRule type="expression" priority="72" dxfId="8" stopIfTrue="1">
      <formula>$IB6="inclusive exception"</formula>
    </cfRule>
    <cfRule type="expression" priority="73" dxfId="6" stopIfTrue="1">
      <formula>$IB6="torque 하한 밖 참고값"</formula>
    </cfRule>
    <cfRule type="expression" priority="74" dxfId="6" stopIfTrue="1">
      <formula>$IB6="torque 상한 밖 참고값"</formula>
    </cfRule>
    <cfRule type="expression" priority="75" dxfId="6" stopIfTrue="1">
      <formula>$IB6="torque 범위 밖 참고값"</formula>
    </cfRule>
    <cfRule type="expression" priority="76" dxfId="5" stopIfTrue="1">
      <formula>$IB6="NO VALUE"</formula>
    </cfRule>
    <cfRule type="expression" priority="77" dxfId="4" stopIfTrue="1">
      <formula>$IB6="INVALID"</formula>
    </cfRule>
  </conditionalFormatting>
  <conditionalFormatting sqref="IC6">
    <cfRule type="expression" priority="78" dxfId="0" stopIfTrue="1">
      <formula>$IC6="strict 정량값"</formula>
    </cfRule>
    <cfRule type="expression" priority="79" dxfId="8" stopIfTrue="1">
      <formula>$IC6="inclusive exception"</formula>
    </cfRule>
    <cfRule type="expression" priority="80" dxfId="6" stopIfTrue="1">
      <formula>$IC6="torque 하한 밖 참고값"</formula>
    </cfRule>
    <cfRule type="expression" priority="81" dxfId="6" stopIfTrue="1">
      <formula>$IC6="torque 상한 밖 참고값"</formula>
    </cfRule>
    <cfRule type="expression" priority="82" dxfId="6" stopIfTrue="1">
      <formula>$IC6="torque 범위 밖 참고값"</formula>
    </cfRule>
    <cfRule type="expression" priority="83" dxfId="5" stopIfTrue="1">
      <formula>$IC6="NO VALUE"</formula>
    </cfRule>
    <cfRule type="expression" priority="84" dxfId="4" stopIfTrue="1">
      <formula>$IC6="INVALID"</formula>
    </cfRule>
  </conditionalFormatting>
  <conditionalFormatting sqref="ID6">
    <cfRule type="expression" priority="85" dxfId="0" stopIfTrue="1">
      <formula>$ID6="strict 정량값"</formula>
    </cfRule>
    <cfRule type="expression" priority="86" dxfId="8" stopIfTrue="1">
      <formula>$ID6="inclusive exception"</formula>
    </cfRule>
    <cfRule type="expression" priority="87" dxfId="6" stopIfTrue="1">
      <formula>$ID6="torque 하한 밖 참고값"</formula>
    </cfRule>
    <cfRule type="expression" priority="88" dxfId="6" stopIfTrue="1">
      <formula>$ID6="torque 상한 밖 참고값"</formula>
    </cfRule>
    <cfRule type="expression" priority="89" dxfId="6" stopIfTrue="1">
      <formula>$ID6="torque 범위 밖 참고값"</formula>
    </cfRule>
    <cfRule type="expression" priority="90" dxfId="5" stopIfTrue="1">
      <formula>$ID6="NO VALUE"</formula>
    </cfRule>
    <cfRule type="expression" priority="91" dxfId="4" stopIfTrue="1">
      <formula>$ID6="INVALID"</formula>
    </cfRule>
  </conditionalFormatting>
  <conditionalFormatting sqref="IE6">
    <cfRule type="expression" priority="92" dxfId="0" stopIfTrue="1">
      <formula>$IE6="strict 정량값"</formula>
    </cfRule>
    <cfRule type="expression" priority="93" dxfId="8" stopIfTrue="1">
      <formula>$IE6="inclusive exception"</formula>
    </cfRule>
    <cfRule type="expression" priority="94" dxfId="6" stopIfTrue="1">
      <formula>$IE6="torque 하한 밖 참고값"</formula>
    </cfRule>
    <cfRule type="expression" priority="95" dxfId="6" stopIfTrue="1">
      <formula>$IE6="torque 상한 밖 참고값"</formula>
    </cfRule>
    <cfRule type="expression" priority="96" dxfId="6" stopIfTrue="1">
      <formula>$IE6="torque 범위 밖 참고값"</formula>
    </cfRule>
    <cfRule type="expression" priority="97" dxfId="5" stopIfTrue="1">
      <formula>$IE6="NO VALUE"</formula>
    </cfRule>
    <cfRule type="expression" priority="98" dxfId="4" stopIfTrue="1">
      <formula>$IE6="INVALID"</formula>
    </cfRule>
  </conditionalFormatting>
  <conditionalFormatting sqref="IF6">
    <cfRule type="expression" priority="99" dxfId="0" stopIfTrue="1">
      <formula>$IF6="strict 정량값"</formula>
    </cfRule>
    <cfRule type="expression" priority="100" dxfId="8" stopIfTrue="1">
      <formula>$IF6="inclusive exception"</formula>
    </cfRule>
    <cfRule type="expression" priority="101" dxfId="6" stopIfTrue="1">
      <formula>$IF6="torque 하한 밖 참고값"</formula>
    </cfRule>
    <cfRule type="expression" priority="102" dxfId="6" stopIfTrue="1">
      <formula>$IF6="torque 상한 밖 참고값"</formula>
    </cfRule>
    <cfRule type="expression" priority="103" dxfId="6" stopIfTrue="1">
      <formula>$IF6="torque 범위 밖 참고값"</formula>
    </cfRule>
    <cfRule type="expression" priority="104" dxfId="5" stopIfTrue="1">
      <formula>$IF6="NO VALUE"</formula>
    </cfRule>
    <cfRule type="expression" priority="105" dxfId="4" stopIfTrue="1">
      <formula>$IF6="INVALID"</formula>
    </cfRule>
  </conditionalFormatting>
  <conditionalFormatting sqref="IG6">
    <cfRule type="expression" priority="106" dxfId="0" stopIfTrue="1">
      <formula>$IG6="strict 정량값"</formula>
    </cfRule>
    <cfRule type="expression" priority="107" dxfId="8" stopIfTrue="1">
      <formula>$IG6="inclusive exception"</formula>
    </cfRule>
    <cfRule type="expression" priority="108" dxfId="6" stopIfTrue="1">
      <formula>$IG6="torque 하한 밖 참고값"</formula>
    </cfRule>
    <cfRule type="expression" priority="109" dxfId="6" stopIfTrue="1">
      <formula>$IG6="torque 상한 밖 참고값"</formula>
    </cfRule>
    <cfRule type="expression" priority="110" dxfId="6" stopIfTrue="1">
      <formula>$IG6="torque 범위 밖 참고값"</formula>
    </cfRule>
    <cfRule type="expression" priority="111" dxfId="5" stopIfTrue="1">
      <formula>$IG6="NO VALUE"</formula>
    </cfRule>
    <cfRule type="expression" priority="112" dxfId="4" stopIfTrue="1">
      <formula>$IG6="INVALID"</formula>
    </cfRule>
  </conditionalFormatting>
  <conditionalFormatting sqref="IH6">
    <cfRule type="expression" priority="113" dxfId="0" stopIfTrue="1">
      <formula>$IH6="strict 정량값"</formula>
    </cfRule>
    <cfRule type="expression" priority="114" dxfId="8" stopIfTrue="1">
      <formula>$IH6="inclusive exception"</formula>
    </cfRule>
    <cfRule type="expression" priority="115" dxfId="6" stopIfTrue="1">
      <formula>$IH6="torque 하한 밖 참고값"</formula>
    </cfRule>
    <cfRule type="expression" priority="116" dxfId="6" stopIfTrue="1">
      <formula>$IH6="torque 상한 밖 참고값"</formula>
    </cfRule>
    <cfRule type="expression" priority="117" dxfId="6" stopIfTrue="1">
      <formula>$IH6="torque 범위 밖 참고값"</formula>
    </cfRule>
    <cfRule type="expression" priority="118" dxfId="5" stopIfTrue="1">
      <formula>$IH6="NO VALUE"</formula>
    </cfRule>
    <cfRule type="expression" priority="119" dxfId="4" stopIfTrue="1">
      <formula>$IH6="INVALID"</formula>
    </cfRule>
  </conditionalFormatting>
  <conditionalFormatting sqref="II6">
    <cfRule type="expression" priority="120" dxfId="0" stopIfTrue="1">
      <formula>$II6="strict 정량값"</formula>
    </cfRule>
    <cfRule type="expression" priority="121" dxfId="8" stopIfTrue="1">
      <formula>$II6="inclusive exception"</formula>
    </cfRule>
    <cfRule type="expression" priority="122" dxfId="6" stopIfTrue="1">
      <formula>$II6="torque 하한 밖 참고값"</formula>
    </cfRule>
    <cfRule type="expression" priority="123" dxfId="6" stopIfTrue="1">
      <formula>$II6="torque 상한 밖 참고값"</formula>
    </cfRule>
    <cfRule type="expression" priority="124" dxfId="6" stopIfTrue="1">
      <formula>$II6="torque 범위 밖 참고값"</formula>
    </cfRule>
    <cfRule type="expression" priority="125" dxfId="5" stopIfTrue="1">
      <formula>$II6="NO VALUE"</formula>
    </cfRule>
    <cfRule type="expression" priority="126" dxfId="4" stopIfTrue="1">
      <formula>$II6="INVALID"</formula>
    </cfRule>
  </conditionalFormatting>
  <conditionalFormatting sqref="IJ6">
    <cfRule type="expression" priority="127" dxfId="0" stopIfTrue="1">
      <formula>$IJ6="strict 정량값"</formula>
    </cfRule>
    <cfRule type="expression" priority="128" dxfId="8" stopIfTrue="1">
      <formula>$IJ6="inclusive exception"</formula>
    </cfRule>
    <cfRule type="expression" priority="129" dxfId="6" stopIfTrue="1">
      <formula>$IJ6="torque 하한 밖 참고값"</formula>
    </cfRule>
    <cfRule type="expression" priority="130" dxfId="6" stopIfTrue="1">
      <formula>$IJ6="torque 상한 밖 참고값"</formula>
    </cfRule>
    <cfRule type="expression" priority="131" dxfId="6" stopIfTrue="1">
      <formula>$IJ6="torque 범위 밖 참고값"</formula>
    </cfRule>
    <cfRule type="expression" priority="132" dxfId="5" stopIfTrue="1">
      <formula>$IJ6="NO VALUE"</formula>
    </cfRule>
    <cfRule type="expression" priority="133" dxfId="4" stopIfTrue="1">
      <formula>$IJ6="INVALID"</formula>
    </cfRule>
  </conditionalFormatting>
  <conditionalFormatting sqref="IK6">
    <cfRule type="expression" priority="134" dxfId="0" stopIfTrue="1">
      <formula>$IK6="strict 정량값"</formula>
    </cfRule>
    <cfRule type="expression" priority="135" dxfId="8" stopIfTrue="1">
      <formula>$IK6="inclusive exception"</formula>
    </cfRule>
    <cfRule type="expression" priority="136" dxfId="6" stopIfTrue="1">
      <formula>$IK6="torque 하한 밖 참고값"</formula>
    </cfRule>
    <cfRule type="expression" priority="137" dxfId="6" stopIfTrue="1">
      <formula>$IK6="torque 상한 밖 참고값"</formula>
    </cfRule>
    <cfRule type="expression" priority="138" dxfId="6" stopIfTrue="1">
      <formula>$IK6="torque 범위 밖 참고값"</formula>
    </cfRule>
    <cfRule type="expression" priority="139" dxfId="5" stopIfTrue="1">
      <formula>$IK6="NO VALUE"</formula>
    </cfRule>
    <cfRule type="expression" priority="140" dxfId="4" stopIfTrue="1">
      <formula>$IK6="INVALID"</formula>
    </cfRule>
  </conditionalFormatting>
  <conditionalFormatting sqref="IL6">
    <cfRule type="expression" priority="141" dxfId="0" stopIfTrue="1">
      <formula>$IL6="strict 정량값"</formula>
    </cfRule>
    <cfRule type="expression" priority="142" dxfId="8" stopIfTrue="1">
      <formula>$IL6="inclusive exception"</formula>
    </cfRule>
    <cfRule type="expression" priority="143" dxfId="6" stopIfTrue="1">
      <formula>$IL6="torque 하한 밖 참고값"</formula>
    </cfRule>
    <cfRule type="expression" priority="144" dxfId="6" stopIfTrue="1">
      <formula>$IL6="torque 상한 밖 참고값"</formula>
    </cfRule>
    <cfRule type="expression" priority="145" dxfId="6" stopIfTrue="1">
      <formula>$IL6="torque 범위 밖 참고값"</formula>
    </cfRule>
    <cfRule type="expression" priority="146" dxfId="5" stopIfTrue="1">
      <formula>$IL6="NO VALUE"</formula>
    </cfRule>
    <cfRule type="expression" priority="147" dxfId="4" stopIfTrue="1">
      <formula>$IL6="INVALID"</formula>
    </cfRule>
  </conditionalFormatting>
  <conditionalFormatting sqref="IM6">
    <cfRule type="expression" priority="148" dxfId="0" stopIfTrue="1">
      <formula>$IM6="strict 정량값"</formula>
    </cfRule>
    <cfRule type="expression" priority="149" dxfId="8" stopIfTrue="1">
      <formula>$IM6="inclusive exception"</formula>
    </cfRule>
    <cfRule type="expression" priority="150" dxfId="6" stopIfTrue="1">
      <formula>$IM6="torque 하한 밖 참고값"</formula>
    </cfRule>
    <cfRule type="expression" priority="151" dxfId="6" stopIfTrue="1">
      <formula>$IM6="torque 상한 밖 참고값"</formula>
    </cfRule>
    <cfRule type="expression" priority="152" dxfId="6" stopIfTrue="1">
      <formula>$IM6="torque 범위 밖 참고값"</formula>
    </cfRule>
    <cfRule type="expression" priority="153" dxfId="5" stopIfTrue="1">
      <formula>$IM6="NO VALUE"</formula>
    </cfRule>
    <cfRule type="expression" priority="154" dxfId="4" stopIfTrue="1">
      <formula>$IM6="INVALID"</formula>
    </cfRule>
  </conditionalFormatting>
  <conditionalFormatting sqref="IN6">
    <cfRule type="expression" priority="155" dxfId="0" stopIfTrue="1">
      <formula>$IN6="strict 정량값"</formula>
    </cfRule>
    <cfRule type="expression" priority="156" dxfId="8" stopIfTrue="1">
      <formula>$IN6="inclusive exception"</formula>
    </cfRule>
    <cfRule type="expression" priority="157" dxfId="6" stopIfTrue="1">
      <formula>$IN6="torque 하한 밖 참고값"</formula>
    </cfRule>
    <cfRule type="expression" priority="158" dxfId="6" stopIfTrue="1">
      <formula>$IN6="torque 상한 밖 참고값"</formula>
    </cfRule>
    <cfRule type="expression" priority="159" dxfId="6" stopIfTrue="1">
      <formula>$IN6="torque 범위 밖 참고값"</formula>
    </cfRule>
    <cfRule type="expression" priority="160" dxfId="5" stopIfTrue="1">
      <formula>$IN6="NO VALUE"</formula>
    </cfRule>
    <cfRule type="expression" priority="161" dxfId="4" stopIfTrue="1">
      <formula>$IN6="INVALID"</formula>
    </cfRule>
  </conditionalFormatting>
  <conditionalFormatting sqref="IO6">
    <cfRule type="expression" priority="162" dxfId="0" stopIfTrue="1">
      <formula>$IO6="strict 정량값"</formula>
    </cfRule>
    <cfRule type="expression" priority="163" dxfId="8" stopIfTrue="1">
      <formula>$IO6="inclusive exception"</formula>
    </cfRule>
    <cfRule type="expression" priority="164" dxfId="6" stopIfTrue="1">
      <formula>$IO6="torque 하한 밖 참고값"</formula>
    </cfRule>
    <cfRule type="expression" priority="165" dxfId="6" stopIfTrue="1">
      <formula>$IO6="torque 상한 밖 참고값"</formula>
    </cfRule>
    <cfRule type="expression" priority="166" dxfId="6" stopIfTrue="1">
      <formula>$IO6="torque 범위 밖 참고값"</formula>
    </cfRule>
    <cfRule type="expression" priority="167" dxfId="5" stopIfTrue="1">
      <formula>$IO6="NO VALUE"</formula>
    </cfRule>
    <cfRule type="expression" priority="168" dxfId="4" stopIfTrue="1">
      <formula>$IO6="INVALID"</formula>
    </cfRule>
  </conditionalFormatting>
  <conditionalFormatting sqref="IP6">
    <cfRule type="expression" priority="169" dxfId="0" stopIfTrue="1">
      <formula>$IP6="strict 정량값"</formula>
    </cfRule>
    <cfRule type="expression" priority="170" dxfId="8" stopIfTrue="1">
      <formula>$IP6="inclusive exception"</formula>
    </cfRule>
    <cfRule type="expression" priority="171" dxfId="6" stopIfTrue="1">
      <formula>$IP6="torque 하한 밖 참고값"</formula>
    </cfRule>
    <cfRule type="expression" priority="172" dxfId="6" stopIfTrue="1">
      <formula>$IP6="torque 상한 밖 참고값"</formula>
    </cfRule>
    <cfRule type="expression" priority="173" dxfId="6" stopIfTrue="1">
      <formula>$IP6="torque 범위 밖 참고값"</formula>
    </cfRule>
    <cfRule type="expression" priority="174" dxfId="5" stopIfTrue="1">
      <formula>$IP6="NO VALUE"</formula>
    </cfRule>
    <cfRule type="expression" priority="175" dxfId="4" stopIfTrue="1">
      <formula>$IP6="INVALID"</formula>
    </cfRule>
  </conditionalFormatting>
  <conditionalFormatting sqref="IQ6">
    <cfRule type="expression" priority="176" dxfId="0" stopIfTrue="1">
      <formula>$IQ6="strict 정량값"</formula>
    </cfRule>
    <cfRule type="expression" priority="177" dxfId="8" stopIfTrue="1">
      <formula>$IQ6="inclusive exception"</formula>
    </cfRule>
    <cfRule type="expression" priority="178" dxfId="6" stopIfTrue="1">
      <formula>$IQ6="torque 하한 밖 참고값"</formula>
    </cfRule>
    <cfRule type="expression" priority="179" dxfId="6" stopIfTrue="1">
      <formula>$IQ6="torque 상한 밖 참고값"</formula>
    </cfRule>
    <cfRule type="expression" priority="180" dxfId="6" stopIfTrue="1">
      <formula>$IQ6="torque 범위 밖 참고값"</formula>
    </cfRule>
    <cfRule type="expression" priority="181" dxfId="5" stopIfTrue="1">
      <formula>$IQ6="NO VALUE"</formula>
    </cfRule>
    <cfRule type="expression" priority="182" dxfId="4" stopIfTrue="1">
      <formula>$IQ6="INVALID"</formula>
    </cfRule>
  </conditionalFormatting>
  <conditionalFormatting sqref="IR6">
    <cfRule type="expression" priority="183" dxfId="0" stopIfTrue="1">
      <formula>$IR6="strict 정량값"</formula>
    </cfRule>
    <cfRule type="expression" priority="184" dxfId="8" stopIfTrue="1">
      <formula>$IR6="inclusive exception"</formula>
    </cfRule>
    <cfRule type="expression" priority="185" dxfId="6" stopIfTrue="1">
      <formula>$IR6="torque 하한 밖 참고값"</formula>
    </cfRule>
    <cfRule type="expression" priority="186" dxfId="6" stopIfTrue="1">
      <formula>$IR6="torque 상한 밖 참고값"</formula>
    </cfRule>
    <cfRule type="expression" priority="187" dxfId="6" stopIfTrue="1">
      <formula>$IR6="torque 범위 밖 참고값"</formula>
    </cfRule>
    <cfRule type="expression" priority="188" dxfId="5" stopIfTrue="1">
      <formula>$IR6="NO VALUE"</formula>
    </cfRule>
    <cfRule type="expression" priority="189" dxfId="4" stopIfTrue="1">
      <formula>$IR6="INVALID"</formula>
    </cfRule>
  </conditionalFormatting>
  <conditionalFormatting sqref="IS6">
    <cfRule type="expression" priority="190" dxfId="0" stopIfTrue="1">
      <formula>$IS6="strict 정량값"</formula>
    </cfRule>
    <cfRule type="expression" priority="191" dxfId="8" stopIfTrue="1">
      <formula>$IS6="inclusive exception"</formula>
    </cfRule>
    <cfRule type="expression" priority="192" dxfId="6" stopIfTrue="1">
      <formula>$IS6="torque 하한 밖 참고값"</formula>
    </cfRule>
    <cfRule type="expression" priority="193" dxfId="6" stopIfTrue="1">
      <formula>$IS6="torque 상한 밖 참고값"</formula>
    </cfRule>
    <cfRule type="expression" priority="194" dxfId="6" stopIfTrue="1">
      <formula>$IS6="torque 범위 밖 참고값"</formula>
    </cfRule>
    <cfRule type="expression" priority="195" dxfId="5" stopIfTrue="1">
      <formula>$IS6="NO VALUE"</formula>
    </cfRule>
    <cfRule type="expression" priority="196" dxfId="4" stopIfTrue="1">
      <formula>$IS6="INVALID"</formula>
    </cfRule>
  </conditionalFormatting>
  <conditionalFormatting sqref="IT6">
    <cfRule type="expression" priority="197" dxfId="0" stopIfTrue="1">
      <formula>$IT6="strict 정량값"</formula>
    </cfRule>
    <cfRule type="expression" priority="198" dxfId="8" stopIfTrue="1">
      <formula>$IT6="inclusive exception"</formula>
    </cfRule>
    <cfRule type="expression" priority="199" dxfId="6" stopIfTrue="1">
      <formula>$IT6="torque 하한 밖 참고값"</formula>
    </cfRule>
    <cfRule type="expression" priority="200" dxfId="6" stopIfTrue="1">
      <formula>$IT6="torque 상한 밖 참고값"</formula>
    </cfRule>
    <cfRule type="expression" priority="201" dxfId="6" stopIfTrue="1">
      <formula>$IT6="torque 범위 밖 참고값"</formula>
    </cfRule>
    <cfRule type="expression" priority="202" dxfId="5" stopIfTrue="1">
      <formula>$IT6="NO VALUE"</formula>
    </cfRule>
    <cfRule type="expression" priority="203" dxfId="4" stopIfTrue="1">
      <formula>$IT6="INVALID"</formula>
    </cfRule>
  </conditionalFormatting>
  <conditionalFormatting sqref="IU6">
    <cfRule type="expression" priority="204" dxfId="0" stopIfTrue="1">
      <formula>$IU6="strict 정량값"</formula>
    </cfRule>
    <cfRule type="expression" priority="205" dxfId="8" stopIfTrue="1">
      <formula>$IU6="inclusive exception"</formula>
    </cfRule>
    <cfRule type="expression" priority="206" dxfId="6" stopIfTrue="1">
      <formula>$IU6="torque 하한 밖 참고값"</formula>
    </cfRule>
    <cfRule type="expression" priority="207" dxfId="6" stopIfTrue="1">
      <formula>$IU6="torque 상한 밖 참고값"</formula>
    </cfRule>
    <cfRule type="expression" priority="208" dxfId="6" stopIfTrue="1">
      <formula>$IU6="torque 범위 밖 참고값"</formula>
    </cfRule>
    <cfRule type="expression" priority="209" dxfId="5" stopIfTrue="1">
      <formula>$IU6="NO VALUE"</formula>
    </cfRule>
    <cfRule type="expression" priority="210" dxfId="4" stopIfTrue="1">
      <formula>$IU6="INVALID"</formula>
    </cfRule>
  </conditionalFormatting>
  <conditionalFormatting sqref="IV6">
    <cfRule type="expression" priority="211" dxfId="0" stopIfTrue="1">
      <formula>$IV6="strict 정량값"</formula>
    </cfRule>
    <cfRule type="expression" priority="212" dxfId="8" stopIfTrue="1">
      <formula>$IV6="inclusive exception"</formula>
    </cfRule>
    <cfRule type="expression" priority="213" dxfId="6" stopIfTrue="1">
      <formula>$IV6="torque 하한 밖 참고값"</formula>
    </cfRule>
    <cfRule type="expression" priority="214" dxfId="6" stopIfTrue="1">
      <formula>$IV6="torque 상한 밖 참고값"</formula>
    </cfRule>
    <cfRule type="expression" priority="215" dxfId="6" stopIfTrue="1">
      <formula>$IV6="torque 범위 밖 참고값"</formula>
    </cfRule>
    <cfRule type="expression" priority="216" dxfId="5" stopIfTrue="1">
      <formula>$IV6="NO VALUE"</formula>
    </cfRule>
    <cfRule type="expression" priority="217" dxfId="4" stopIfTrue="1">
      <formula>$IV6="INVALID"</formula>
    </cfRule>
  </conditionalFormatting>
  <conditionalFormatting sqref="IW6">
    <cfRule type="expression" priority="218" dxfId="0" stopIfTrue="1">
      <formula>$IW6="strict 정량값"</formula>
    </cfRule>
    <cfRule type="expression" priority="219" dxfId="8" stopIfTrue="1">
      <formula>$IW6="inclusive exception"</formula>
    </cfRule>
    <cfRule type="expression" priority="220" dxfId="6" stopIfTrue="1">
      <formula>$IW6="torque 하한 밖 참고값"</formula>
    </cfRule>
    <cfRule type="expression" priority="221" dxfId="6" stopIfTrue="1">
      <formula>$IW6="torque 상한 밖 참고값"</formula>
    </cfRule>
    <cfRule type="expression" priority="222" dxfId="6" stopIfTrue="1">
      <formula>$IW6="torque 범위 밖 참고값"</formula>
    </cfRule>
    <cfRule type="expression" priority="223" dxfId="5" stopIfTrue="1">
      <formula>$IW6="NO VALUE"</formula>
    </cfRule>
    <cfRule type="expression" priority="224" dxfId="4" stopIfTrue="1">
      <formula>$IW6="INVALID"</formula>
    </cfRule>
  </conditionalFormatting>
  <conditionalFormatting sqref="IX6">
    <cfRule type="expression" priority="225" dxfId="0" stopIfTrue="1">
      <formula>$IX6="strict 정량값"</formula>
    </cfRule>
    <cfRule type="expression" priority="226" dxfId="8" stopIfTrue="1">
      <formula>$IX6="inclusive exception"</formula>
    </cfRule>
    <cfRule type="expression" priority="227" dxfId="6" stopIfTrue="1">
      <formula>$IX6="torque 하한 밖 참고값"</formula>
    </cfRule>
    <cfRule type="expression" priority="228" dxfId="6" stopIfTrue="1">
      <formula>$IX6="torque 상한 밖 참고값"</formula>
    </cfRule>
    <cfRule type="expression" priority="229" dxfId="6" stopIfTrue="1">
      <formula>$IX6="torque 범위 밖 참고값"</formula>
    </cfRule>
    <cfRule type="expression" priority="230" dxfId="5" stopIfTrue="1">
      <formula>$IX6="NO VALUE"</formula>
    </cfRule>
    <cfRule type="expression" priority="231" dxfId="4" stopIfTrue="1">
      <formula>$IX6="INVALID"</formula>
    </cfRule>
  </conditionalFormatting>
  <conditionalFormatting sqref="IY6">
    <cfRule type="expression" priority="232" dxfId="0" stopIfTrue="1">
      <formula>$IY6="strict 정량값"</formula>
    </cfRule>
    <cfRule type="expression" priority="233" dxfId="8" stopIfTrue="1">
      <formula>$IY6="inclusive exception"</formula>
    </cfRule>
    <cfRule type="expression" priority="234" dxfId="6" stopIfTrue="1">
      <formula>$IY6="torque 하한 밖 참고값"</formula>
    </cfRule>
    <cfRule type="expression" priority="235" dxfId="6" stopIfTrue="1">
      <formula>$IY6="torque 상한 밖 참고값"</formula>
    </cfRule>
    <cfRule type="expression" priority="236" dxfId="6" stopIfTrue="1">
      <formula>$IY6="torque 범위 밖 참고값"</formula>
    </cfRule>
    <cfRule type="expression" priority="237" dxfId="5" stopIfTrue="1">
      <formula>$IY6="NO VALUE"</formula>
    </cfRule>
    <cfRule type="expression" priority="238" dxfId="4" stopIfTrue="1">
      <formula>$IY6="INVALID"</formula>
    </cfRule>
  </conditionalFormatting>
  <conditionalFormatting sqref="IZ6">
    <cfRule type="expression" priority="239" dxfId="0" stopIfTrue="1">
      <formula>$IZ6="strict 정량값"</formula>
    </cfRule>
    <cfRule type="expression" priority="240" dxfId="8" stopIfTrue="1">
      <formula>$IZ6="inclusive exception"</formula>
    </cfRule>
    <cfRule type="expression" priority="241" dxfId="6" stopIfTrue="1">
      <formula>$IZ6="torque 하한 밖 참고값"</formula>
    </cfRule>
    <cfRule type="expression" priority="242" dxfId="6" stopIfTrue="1">
      <formula>$IZ6="torque 상한 밖 참고값"</formula>
    </cfRule>
    <cfRule type="expression" priority="243" dxfId="6" stopIfTrue="1">
      <formula>$IZ6="torque 범위 밖 참고값"</formula>
    </cfRule>
    <cfRule type="expression" priority="244" dxfId="5" stopIfTrue="1">
      <formula>$IZ6="NO VALUE"</formula>
    </cfRule>
    <cfRule type="expression" priority="245" dxfId="4" stopIfTrue="1">
      <formula>$IZ6="INVALID"</formula>
    </cfRule>
  </conditionalFormatting>
  <conditionalFormatting sqref="JA6">
    <cfRule type="expression" priority="246" dxfId="0" stopIfTrue="1">
      <formula>$JA6="strict 정량값"</formula>
    </cfRule>
    <cfRule type="expression" priority="247" dxfId="8" stopIfTrue="1">
      <formula>$JA6="inclusive exception"</formula>
    </cfRule>
    <cfRule type="expression" priority="248" dxfId="6" stopIfTrue="1">
      <formula>$JA6="torque 하한 밖 참고값"</formula>
    </cfRule>
    <cfRule type="expression" priority="249" dxfId="6" stopIfTrue="1">
      <formula>$JA6="torque 상한 밖 참고값"</formula>
    </cfRule>
    <cfRule type="expression" priority="250" dxfId="6" stopIfTrue="1">
      <formula>$JA6="torque 범위 밖 참고값"</formula>
    </cfRule>
    <cfRule type="expression" priority="251" dxfId="5" stopIfTrue="1">
      <formula>$JA6="NO VALUE"</formula>
    </cfRule>
    <cfRule type="expression" priority="252" dxfId="4" stopIfTrue="1">
      <formula>$JA6="INVALID"</formula>
    </cfRule>
  </conditionalFormatting>
  <conditionalFormatting sqref="JB6">
    <cfRule type="expression" priority="253" dxfId="0" stopIfTrue="1">
      <formula>$JB6="strict 정량값"</formula>
    </cfRule>
    <cfRule type="expression" priority="254" dxfId="8" stopIfTrue="1">
      <formula>$JB6="inclusive exception"</formula>
    </cfRule>
    <cfRule type="expression" priority="255" dxfId="6" stopIfTrue="1">
      <formula>$JB6="torque 하한 밖 참고값"</formula>
    </cfRule>
    <cfRule type="expression" priority="256" dxfId="6" stopIfTrue="1">
      <formula>$JB6="torque 상한 밖 참고값"</formula>
    </cfRule>
    <cfRule type="expression" priority="257" dxfId="6" stopIfTrue="1">
      <formula>$JB6="torque 범위 밖 참고값"</formula>
    </cfRule>
    <cfRule type="expression" priority="258" dxfId="5" stopIfTrue="1">
      <formula>$JB6="NO VALUE"</formula>
    </cfRule>
    <cfRule type="expression" priority="259" dxfId="4" stopIfTrue="1">
      <formula>$JB6="INVALID"</formula>
    </cfRule>
  </conditionalFormatting>
  <conditionalFormatting sqref="JC6">
    <cfRule type="expression" priority="260" dxfId="0" stopIfTrue="1">
      <formula>$JC6="strict 정량값"</formula>
    </cfRule>
    <cfRule type="expression" priority="261" dxfId="8" stopIfTrue="1">
      <formula>$JC6="inclusive exception"</formula>
    </cfRule>
    <cfRule type="expression" priority="262" dxfId="6" stopIfTrue="1">
      <formula>$JC6="torque 하한 밖 참고값"</formula>
    </cfRule>
    <cfRule type="expression" priority="263" dxfId="6" stopIfTrue="1">
      <formula>$JC6="torque 상한 밖 참고값"</formula>
    </cfRule>
    <cfRule type="expression" priority="264" dxfId="6" stopIfTrue="1">
      <formula>$JC6="torque 범위 밖 참고값"</formula>
    </cfRule>
    <cfRule type="expression" priority="265" dxfId="5" stopIfTrue="1">
      <formula>$JC6="NO VALUE"</formula>
    </cfRule>
    <cfRule type="expression" priority="266" dxfId="4" stopIfTrue="1">
      <formula>$JC6="INVALID"</formula>
    </cfRule>
  </conditionalFormatting>
  <conditionalFormatting sqref="JD6">
    <cfRule type="expression" priority="267" dxfId="0" stopIfTrue="1">
      <formula>$JD6="strict 정량값"</formula>
    </cfRule>
    <cfRule type="expression" priority="268" dxfId="8" stopIfTrue="1">
      <formula>$JD6="inclusive exception"</formula>
    </cfRule>
    <cfRule type="expression" priority="269" dxfId="6" stopIfTrue="1">
      <formula>$JD6="torque 하한 밖 참고값"</formula>
    </cfRule>
    <cfRule type="expression" priority="270" dxfId="6" stopIfTrue="1">
      <formula>$JD6="torque 상한 밖 참고값"</formula>
    </cfRule>
    <cfRule type="expression" priority="271" dxfId="6" stopIfTrue="1">
      <formula>$JD6="torque 범위 밖 참고값"</formula>
    </cfRule>
    <cfRule type="expression" priority="272" dxfId="5" stopIfTrue="1">
      <formula>$JD6="NO VALUE"</formula>
    </cfRule>
    <cfRule type="expression" priority="273" dxfId="4" stopIfTrue="1">
      <formula>$JD6="INVALID"</formula>
    </cfRule>
  </conditionalFormatting>
  <conditionalFormatting sqref="JE6">
    <cfRule type="expression" priority="274" dxfId="0" stopIfTrue="1">
      <formula>$JE6="strict 정량값"</formula>
    </cfRule>
    <cfRule type="expression" priority="275" dxfId="8" stopIfTrue="1">
      <formula>$JE6="inclusive exception"</formula>
    </cfRule>
    <cfRule type="expression" priority="276" dxfId="6" stopIfTrue="1">
      <formula>$JE6="torque 하한 밖 참고값"</formula>
    </cfRule>
    <cfRule type="expression" priority="277" dxfId="6" stopIfTrue="1">
      <formula>$JE6="torque 상한 밖 참고값"</formula>
    </cfRule>
    <cfRule type="expression" priority="278" dxfId="6" stopIfTrue="1">
      <formula>$JE6="torque 범위 밖 참고값"</formula>
    </cfRule>
    <cfRule type="expression" priority="279" dxfId="5" stopIfTrue="1">
      <formula>$JE6="NO VALUE"</formula>
    </cfRule>
    <cfRule type="expression" priority="280" dxfId="4" stopIfTrue="1">
      <formula>$JE6="INVALID"</formula>
    </cfRule>
  </conditionalFormatting>
  <conditionalFormatting sqref="JF6">
    <cfRule type="expression" priority="281" dxfId="0" stopIfTrue="1">
      <formula>$JF6="strict 정량값"</formula>
    </cfRule>
    <cfRule type="expression" priority="282" dxfId="8" stopIfTrue="1">
      <formula>$JF6="inclusive exception"</formula>
    </cfRule>
    <cfRule type="expression" priority="283" dxfId="6" stopIfTrue="1">
      <formula>$JF6="torque 하한 밖 참고값"</formula>
    </cfRule>
    <cfRule type="expression" priority="284" dxfId="6" stopIfTrue="1">
      <formula>$JF6="torque 상한 밖 참고값"</formula>
    </cfRule>
    <cfRule type="expression" priority="285" dxfId="6" stopIfTrue="1">
      <formula>$JF6="torque 범위 밖 참고값"</formula>
    </cfRule>
    <cfRule type="expression" priority="286" dxfId="5" stopIfTrue="1">
      <formula>$JF6="NO VALUE"</formula>
    </cfRule>
    <cfRule type="expression" priority="287" dxfId="4" stopIfTrue="1">
      <formula>$JF6="INVALID"</formula>
    </cfRule>
  </conditionalFormatting>
  <conditionalFormatting sqref="JG6">
    <cfRule type="expression" priority="288" dxfId="0" stopIfTrue="1">
      <formula>$JG6="strict 정량값"</formula>
    </cfRule>
    <cfRule type="expression" priority="289" dxfId="8" stopIfTrue="1">
      <formula>$JG6="inclusive exception"</formula>
    </cfRule>
    <cfRule type="expression" priority="290" dxfId="6" stopIfTrue="1">
      <formula>$JG6="torque 하한 밖 참고값"</formula>
    </cfRule>
    <cfRule type="expression" priority="291" dxfId="6" stopIfTrue="1">
      <formula>$JG6="torque 상한 밖 참고값"</formula>
    </cfRule>
    <cfRule type="expression" priority="292" dxfId="6" stopIfTrue="1">
      <formula>$JG6="torque 범위 밖 참고값"</formula>
    </cfRule>
    <cfRule type="expression" priority="293" dxfId="5" stopIfTrue="1">
      <formula>$JG6="NO VALUE"</formula>
    </cfRule>
    <cfRule type="expression" priority="294" dxfId="4" stopIfTrue="1">
      <formula>$JG6="INVALID"</formula>
    </cfRule>
  </conditionalFormatting>
  <conditionalFormatting sqref="JH6">
    <cfRule type="expression" priority="295" dxfId="0" stopIfTrue="1">
      <formula>$JH6="strict 정량값"</formula>
    </cfRule>
    <cfRule type="expression" priority="296" dxfId="8" stopIfTrue="1">
      <formula>$JH6="inclusive exception"</formula>
    </cfRule>
    <cfRule type="expression" priority="297" dxfId="6" stopIfTrue="1">
      <formula>$JH6="torque 하한 밖 참고값"</formula>
    </cfRule>
    <cfRule type="expression" priority="298" dxfId="6" stopIfTrue="1">
      <formula>$JH6="torque 상한 밖 참고값"</formula>
    </cfRule>
    <cfRule type="expression" priority="299" dxfId="6" stopIfTrue="1">
      <formula>$JH6="torque 범위 밖 참고값"</formula>
    </cfRule>
    <cfRule type="expression" priority="300" dxfId="5" stopIfTrue="1">
      <formula>$JH6="NO VALUE"</formula>
    </cfRule>
    <cfRule type="expression" priority="301" dxfId="4" stopIfTrue="1">
      <formula>$JH6="INVALID"</formula>
    </cfRule>
  </conditionalFormatting>
  <conditionalFormatting sqref="JI6">
    <cfRule type="expression" priority="302" dxfId="0" stopIfTrue="1">
      <formula>$JI6="strict 정량값"</formula>
    </cfRule>
    <cfRule type="expression" priority="303" dxfId="8" stopIfTrue="1">
      <formula>$JI6="inclusive exception"</formula>
    </cfRule>
    <cfRule type="expression" priority="304" dxfId="6" stopIfTrue="1">
      <formula>$JI6="torque 하한 밖 참고값"</formula>
    </cfRule>
    <cfRule type="expression" priority="305" dxfId="6" stopIfTrue="1">
      <formula>$JI6="torque 상한 밖 참고값"</formula>
    </cfRule>
    <cfRule type="expression" priority="306" dxfId="6" stopIfTrue="1">
      <formula>$JI6="torque 범위 밖 참고값"</formula>
    </cfRule>
    <cfRule type="expression" priority="307" dxfId="5" stopIfTrue="1">
      <formula>$JI6="NO VALUE"</formula>
    </cfRule>
    <cfRule type="expression" priority="308" dxfId="4" stopIfTrue="1">
      <formula>$JI6="INVALID"</formula>
    </cfRule>
  </conditionalFormatting>
  <conditionalFormatting sqref="JJ6">
    <cfRule type="expression" priority="309" dxfId="0" stopIfTrue="1">
      <formula>$JJ6="strict 정량값"</formula>
    </cfRule>
    <cfRule type="expression" priority="310" dxfId="8" stopIfTrue="1">
      <formula>$JJ6="inclusive exception"</formula>
    </cfRule>
    <cfRule type="expression" priority="311" dxfId="6" stopIfTrue="1">
      <formula>$JJ6="torque 하한 밖 참고값"</formula>
    </cfRule>
    <cfRule type="expression" priority="312" dxfId="6" stopIfTrue="1">
      <formula>$JJ6="torque 상한 밖 참고값"</formula>
    </cfRule>
    <cfRule type="expression" priority="313" dxfId="6" stopIfTrue="1">
      <formula>$JJ6="torque 범위 밖 참고값"</formula>
    </cfRule>
    <cfRule type="expression" priority="314" dxfId="5" stopIfTrue="1">
      <formula>$JJ6="NO VALUE"</formula>
    </cfRule>
    <cfRule type="expression" priority="315" dxfId="4" stopIfTrue="1">
      <formula>$JJ6="INVALID"</formula>
    </cfRule>
  </conditionalFormatting>
  <conditionalFormatting sqref="JK6">
    <cfRule type="expression" priority="316" dxfId="0" stopIfTrue="1">
      <formula>$JK6="strict 정량값"</formula>
    </cfRule>
    <cfRule type="expression" priority="317" dxfId="8" stopIfTrue="1">
      <formula>$JK6="inclusive exception"</formula>
    </cfRule>
    <cfRule type="expression" priority="318" dxfId="6" stopIfTrue="1">
      <formula>$JK6="torque 하한 밖 참고값"</formula>
    </cfRule>
    <cfRule type="expression" priority="319" dxfId="6" stopIfTrue="1">
      <formula>$JK6="torque 상한 밖 참고값"</formula>
    </cfRule>
    <cfRule type="expression" priority="320" dxfId="6" stopIfTrue="1">
      <formula>$JK6="torque 범위 밖 참고값"</formula>
    </cfRule>
    <cfRule type="expression" priority="321" dxfId="5" stopIfTrue="1">
      <formula>$JK6="NO VALUE"</formula>
    </cfRule>
    <cfRule type="expression" priority="322" dxfId="4" stopIfTrue="1">
      <formula>$JK6="INVALID"</formula>
    </cfRule>
  </conditionalFormatting>
  <conditionalFormatting sqref="JL6">
    <cfRule type="expression" priority="323" dxfId="0" stopIfTrue="1">
      <formula>$JL6="strict 정량값"</formula>
    </cfRule>
    <cfRule type="expression" priority="324" dxfId="8" stopIfTrue="1">
      <formula>$JL6="inclusive exception"</formula>
    </cfRule>
    <cfRule type="expression" priority="325" dxfId="6" stopIfTrue="1">
      <formula>$JL6="torque 하한 밖 참고값"</formula>
    </cfRule>
    <cfRule type="expression" priority="326" dxfId="6" stopIfTrue="1">
      <formula>$JL6="torque 상한 밖 참고값"</formula>
    </cfRule>
    <cfRule type="expression" priority="327" dxfId="6" stopIfTrue="1">
      <formula>$JL6="torque 범위 밖 참고값"</formula>
    </cfRule>
    <cfRule type="expression" priority="328" dxfId="5" stopIfTrue="1">
      <formula>$JL6="NO VALUE"</formula>
    </cfRule>
    <cfRule type="expression" priority="329" dxfId="4" stopIfTrue="1">
      <formula>$JL6="INVALID"</formula>
    </cfRule>
  </conditionalFormatting>
  <conditionalFormatting sqref="JM6">
    <cfRule type="expression" priority="330" dxfId="0" stopIfTrue="1">
      <formula>$JM6="strict 정량값"</formula>
    </cfRule>
    <cfRule type="expression" priority="331" dxfId="8" stopIfTrue="1">
      <formula>$JM6="inclusive exception"</formula>
    </cfRule>
    <cfRule type="expression" priority="332" dxfId="6" stopIfTrue="1">
      <formula>$JM6="torque 하한 밖 참고값"</formula>
    </cfRule>
    <cfRule type="expression" priority="333" dxfId="6" stopIfTrue="1">
      <formula>$JM6="torque 상한 밖 참고값"</formula>
    </cfRule>
    <cfRule type="expression" priority="334" dxfId="6" stopIfTrue="1">
      <formula>$JM6="torque 범위 밖 참고값"</formula>
    </cfRule>
    <cfRule type="expression" priority="335" dxfId="5" stopIfTrue="1">
      <formula>$JM6="NO VALUE"</formula>
    </cfRule>
    <cfRule type="expression" priority="336" dxfId="4" stopIfTrue="1">
      <formula>$JM6="INVALID"</formula>
    </cfRule>
  </conditionalFormatting>
  <conditionalFormatting sqref="JN6">
    <cfRule type="expression" priority="337" dxfId="0" stopIfTrue="1">
      <formula>$JN6="strict 정량값"</formula>
    </cfRule>
    <cfRule type="expression" priority="338" dxfId="8" stopIfTrue="1">
      <formula>$JN6="inclusive exception"</formula>
    </cfRule>
    <cfRule type="expression" priority="339" dxfId="6" stopIfTrue="1">
      <formula>$JN6="torque 하한 밖 참고값"</formula>
    </cfRule>
    <cfRule type="expression" priority="340" dxfId="6" stopIfTrue="1">
      <formula>$JN6="torque 상한 밖 참고값"</formula>
    </cfRule>
    <cfRule type="expression" priority="341" dxfId="6" stopIfTrue="1">
      <formula>$JN6="torque 범위 밖 참고값"</formula>
    </cfRule>
    <cfRule type="expression" priority="342" dxfId="5" stopIfTrue="1">
      <formula>$JN6="NO VALUE"</formula>
    </cfRule>
    <cfRule type="expression" priority="343" dxfId="4" stopIfTrue="1">
      <formula>$JN6="INVALID"</formula>
    </cfRule>
  </conditionalFormatting>
  <conditionalFormatting sqref="JO6">
    <cfRule type="expression" priority="344" dxfId="0" stopIfTrue="1">
      <formula>$JO6="strict 정량값"</formula>
    </cfRule>
    <cfRule type="expression" priority="345" dxfId="8" stopIfTrue="1">
      <formula>$JO6="inclusive exception"</formula>
    </cfRule>
    <cfRule type="expression" priority="346" dxfId="6" stopIfTrue="1">
      <formula>$JO6="torque 하한 밖 참고값"</formula>
    </cfRule>
    <cfRule type="expression" priority="347" dxfId="6" stopIfTrue="1">
      <formula>$JO6="torque 상한 밖 참고값"</formula>
    </cfRule>
    <cfRule type="expression" priority="348" dxfId="6" stopIfTrue="1">
      <formula>$JO6="torque 범위 밖 참고값"</formula>
    </cfRule>
    <cfRule type="expression" priority="349" dxfId="5" stopIfTrue="1">
      <formula>$JO6="NO VALUE"</formula>
    </cfRule>
    <cfRule type="expression" priority="350" dxfId="4" stopIfTrue="1">
      <formula>$JO6="INVALID"</formula>
    </cfRule>
  </conditionalFormatting>
  <conditionalFormatting sqref="JP6">
    <cfRule type="expression" priority="351" dxfId="0" stopIfTrue="1">
      <formula>$JP6="strict 정량값"</formula>
    </cfRule>
    <cfRule type="expression" priority="352" dxfId="8" stopIfTrue="1">
      <formula>$JP6="inclusive exception"</formula>
    </cfRule>
    <cfRule type="expression" priority="353" dxfId="6" stopIfTrue="1">
      <formula>$JP6="torque 하한 밖 참고값"</formula>
    </cfRule>
    <cfRule type="expression" priority="354" dxfId="6" stopIfTrue="1">
      <formula>$JP6="torque 상한 밖 참고값"</formula>
    </cfRule>
    <cfRule type="expression" priority="355" dxfId="6" stopIfTrue="1">
      <formula>$JP6="torque 범위 밖 참고값"</formula>
    </cfRule>
    <cfRule type="expression" priority="356" dxfId="5" stopIfTrue="1">
      <formula>$JP6="NO VALUE"</formula>
    </cfRule>
    <cfRule type="expression" priority="357" dxfId="4" stopIfTrue="1">
      <formula>$JP6="INVALID"</formula>
    </cfRule>
  </conditionalFormatting>
  <conditionalFormatting sqref="JQ6">
    <cfRule type="expression" priority="358" dxfId="0" stopIfTrue="1">
      <formula>$JQ6="strict 정량값"</formula>
    </cfRule>
    <cfRule type="expression" priority="359" dxfId="8" stopIfTrue="1">
      <formula>$JQ6="inclusive exception"</formula>
    </cfRule>
    <cfRule type="expression" priority="360" dxfId="6" stopIfTrue="1">
      <formula>$JQ6="torque 하한 밖 참고값"</formula>
    </cfRule>
    <cfRule type="expression" priority="361" dxfId="6" stopIfTrue="1">
      <formula>$JQ6="torque 상한 밖 참고값"</formula>
    </cfRule>
    <cfRule type="expression" priority="362" dxfId="6" stopIfTrue="1">
      <formula>$JQ6="torque 범위 밖 참고값"</formula>
    </cfRule>
    <cfRule type="expression" priority="363" dxfId="5" stopIfTrue="1">
      <formula>$JQ6="NO VALUE"</formula>
    </cfRule>
    <cfRule type="expression" priority="364" dxfId="4" stopIfTrue="1">
      <formula>$JQ6="INVALID"</formula>
    </cfRule>
  </conditionalFormatting>
  <conditionalFormatting sqref="JR6">
    <cfRule type="expression" priority="365" dxfId="0" stopIfTrue="1">
      <formula>$JR6="strict 정량값"</formula>
    </cfRule>
    <cfRule type="expression" priority="366" dxfId="8" stopIfTrue="1">
      <formula>$JR6="inclusive exception"</formula>
    </cfRule>
    <cfRule type="expression" priority="367" dxfId="6" stopIfTrue="1">
      <formula>$JR6="torque 하한 밖 참고값"</formula>
    </cfRule>
    <cfRule type="expression" priority="368" dxfId="6" stopIfTrue="1">
      <formula>$JR6="torque 상한 밖 참고값"</formula>
    </cfRule>
    <cfRule type="expression" priority="369" dxfId="6" stopIfTrue="1">
      <formula>$JR6="torque 범위 밖 참고값"</formula>
    </cfRule>
    <cfRule type="expression" priority="370" dxfId="5" stopIfTrue="1">
      <formula>$JR6="NO VALUE"</formula>
    </cfRule>
    <cfRule type="expression" priority="371" dxfId="4" stopIfTrue="1">
      <formula>$JR6="INVALID"</formula>
    </cfRule>
  </conditionalFormatting>
  <hyperlinks>
    <hyperlink ref="B1" location="'Lot_QC_Summary'!B2"/>
    <hyperlink ref="C1" location="'QC_Dictionary'!B2"/>
    <hyperlink ref="D1" location="'A_Replicates'!B2"/>
    <hyperlink ref="E1" location="'B_Replicates'!B2"/>
    <hyperlink ref="F1" location="'Density_Replicates'!B2"/>
    <hyperlink ref="G1" location="'A_Replicates_INCL'!B2"/>
    <hyperlink ref="H1" location="'A_Replicates_EXC'!B2"/>
    <hyperlink ref="I1" location="'Metric_Statistics'!B2"/>
    <hyperlink ref="J1" location="'A_Step_Replicates'!B2"/>
    <hyperlink ref="K1" location="'A_Step_Statistics'!B2"/>
    <hyperlink ref="L1" location="'Replicate_Flags'!B2"/>
    <hyperlink ref="M1" location="'Traceability'!B2"/>
  </hyperlink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BF6"/>
  <sheetViews>
    <sheetView showGridLines="0" workbookViewId="0">
      <pane xSplit="4" ySplit="5" topLeftCell="E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2" customWidth="1" min="8" max="8"/>
    <col width="12" customWidth="1" min="9" max="9"/>
    <col width="12" customWidth="1" min="10" max="10"/>
    <col width="19" customWidth="1" min="11" max="11"/>
    <col width="16" customWidth="1" min="12" max="12"/>
    <col width="11" customWidth="1" min="13" max="13"/>
    <col width="11" customWidth="1" min="14" max="14"/>
    <col width="11" customWidth="1" min="15" max="15"/>
    <col width="12" customWidth="1" min="16" max="16"/>
    <col width="14" customWidth="1" min="17" max="17"/>
    <col width="11" customWidth="1" min="18" max="18"/>
    <col width="11" customWidth="1" min="19" max="19"/>
    <col width="12" customWidth="1" min="20" max="20"/>
    <col width="12" customWidth="1" min="21" max="21"/>
    <col width="14" customWidth="1" min="22" max="22"/>
    <col width="11" customWidth="1" min="23" max="23"/>
    <col width="11" customWidth="1" min="24" max="24"/>
    <col width="17" customWidth="1" min="25" max="25"/>
    <col width="11" customWidth="1" min="26" max="26"/>
    <col width="11" customWidth="1" min="27" max="27"/>
    <col width="13" customWidth="1" min="28" max="28"/>
    <col width="14" customWidth="1" min="29" max="29"/>
    <col width="12" customWidth="1" min="30" max="30"/>
    <col width="14" customWidth="1" min="31" max="31"/>
    <col width="26" customWidth="1" min="32" max="32"/>
    <col width="26" customWidth="1" min="33" max="33"/>
    <col width="26" customWidth="1" min="34" max="34"/>
    <col width="20" customWidth="1" min="35" max="35"/>
    <col width="19" customWidth="1" min="36" max="36"/>
    <col width="16" customWidth="1" min="37" max="37"/>
    <col width="14" customWidth="1" min="38" max="38"/>
    <col width="13" customWidth="1" min="39" max="39"/>
    <col width="21" customWidth="1" min="40" max="40"/>
    <col width="18" customWidth="1" min="41" max="41"/>
    <col width="18" customWidth="1" min="42" max="42"/>
    <col width="19" customWidth="1" min="43" max="43"/>
    <col width="21" customWidth="1" min="44" max="44"/>
    <col width="18" customWidth="1" min="45" max="45"/>
    <col width="18" customWidth="1" min="46" max="46"/>
    <col width="19" customWidth="1" min="47" max="47"/>
    <col width="24" customWidth="1" min="48" max="48"/>
    <col width="22" customWidth="1" min="49" max="49"/>
    <col width="22" customWidth="1" min="50" max="50"/>
    <col width="21" customWidth="1" min="51" max="51"/>
    <col width="11" customWidth="1" min="52" max="52"/>
    <col width="11" customWidth="1" min="53" max="53"/>
    <col width="13" customWidth="1" min="54" max="54"/>
    <col width="16" customWidth="1" min="55" max="55"/>
    <col width="13" customWidth="1" min="56" max="56"/>
    <col width="13" customWidth="1" min="57" max="57"/>
    <col width="11" customWidth="1" min="58" max="58"/>
  </cols>
  <sheetData>
    <row r="1">
      <c r="B1" s="1" t="inlineStr">
        <is>
          <t>Lot_QC_Summary</t>
        </is>
      </c>
      <c r="C1" s="1" t="inlineStr">
        <is>
          <t>QC_Dictionary</t>
        </is>
      </c>
      <c r="D1" s="1" t="inlineStr">
        <is>
          <t>A_Replicates</t>
        </is>
      </c>
      <c r="E1" s="1" t="inlineStr">
        <is>
          <t>B_Replicates</t>
        </is>
      </c>
      <c r="F1" s="1" t="inlineStr">
        <is>
          <t>Density_Replicates</t>
        </is>
      </c>
      <c r="G1" s="1" t="inlineStr">
        <is>
          <t>A_Replicates_INCL</t>
        </is>
      </c>
      <c r="H1" s="1" t="inlineStr">
        <is>
          <t>A_Replicates_EXC</t>
        </is>
      </c>
      <c r="I1" s="1" t="inlineStr">
        <is>
          <t>Metric_Statistics</t>
        </is>
      </c>
      <c r="J1" s="1" t="inlineStr">
        <is>
          <t>A_Step_Replicates</t>
        </is>
      </c>
      <c r="K1" s="1" t="inlineStr">
        <is>
          <t>A_Step_Statistics</t>
        </is>
      </c>
      <c r="L1" s="1" t="inlineStr">
        <is>
          <t>Replicate_Flags</t>
        </is>
      </c>
      <c r="M1" s="1" t="inlineStr">
        <is>
          <t>Traceability</t>
        </is>
      </c>
    </row>
    <row r="2" ht="28" customHeight="1">
      <c r="B2" s="2" t="inlineStr">
        <is>
          <t>A_Replicates_EXC — INCLUSIVE 결과 중 EXCEPTION 값 감사 필터</t>
        </is>
      </c>
    </row>
    <row r="3" ht="30" customHeight="1">
      <c r="B3" s="3" t="inlineStr">
        <is>
          <t>30/45 s 등 승인 예외 hold Step을 사용한 inclusive 값만 표시합니다. 이 시트는 제외 목록이 아니라 사용 내역 확인용입니다.</t>
        </is>
      </c>
    </row>
    <row r="4" ht="30" customHeight="1">
      <c r="B4" s="4" t="inlineStr">
        <is>
          <t>POLICY INCLUSIVE — accepted holds 30,45,60 s, 범위 밖 Torque 점 inclusive 포함. EXCEPTION·CENSORED 값은 표준 60 s Lot 통계·추세·규격 설정에 혼용 금지</t>
        </is>
      </c>
    </row>
    <row r="5" ht="28" customHeight="1">
      <c r="B5" s="8" t="inlineStr">
        <is>
          <t>lot</t>
        </is>
      </c>
      <c r="C5" s="8" t="inlineStr">
        <is>
          <t>repeat</t>
        </is>
      </c>
      <c r="D5" s="8" t="inlineStr">
        <is>
          <t>file</t>
        </is>
      </c>
      <c r="E5" s="8" t="inlineStr">
        <is>
          <t>test_start</t>
        </is>
      </c>
      <c r="F5" s="8" t="inlineStr">
        <is>
          <t>route</t>
        </is>
      </c>
      <c r="G5" s="8" t="inlineStr">
        <is>
          <t>data_qc</t>
        </is>
      </c>
      <c r="H5" s="8" t="inlineStr">
        <is>
          <t>A_TAU_L_UP</t>
        </is>
      </c>
      <c r="I5" s="8" t="inlineStr">
        <is>
          <t>A_TAU_M_UP</t>
        </is>
      </c>
      <c r="J5" s="8" t="inlineStr">
        <is>
          <t>A_TAU_H_UP</t>
        </is>
      </c>
      <c r="K5" s="8" t="inlineStr">
        <is>
          <t>A_SSI_FIELD_0P2_2</t>
        </is>
      </c>
      <c r="L5" s="8" t="inlineStr">
        <is>
          <t>A_SSI_QC_0P5_5</t>
        </is>
      </c>
      <c r="M5" s="8" t="inlineStr">
        <is>
          <t>A_DU_L</t>
        </is>
      </c>
      <c r="N5" s="8" t="inlineStr">
        <is>
          <t>A_DU_M</t>
        </is>
      </c>
      <c r="O5" s="8" t="inlineStr">
        <is>
          <t>A_HYS_REL</t>
        </is>
      </c>
      <c r="P5" s="8" t="inlineStr">
        <is>
          <t>A_BRK_PEAK</t>
        </is>
      </c>
      <c r="Q5" s="8" t="inlineStr">
        <is>
          <t>A_HB_TAUY_UP</t>
        </is>
      </c>
      <c r="R5" s="8" t="inlineStr">
        <is>
          <t>A_HB_K_UP</t>
        </is>
      </c>
      <c r="S5" s="8" t="inlineStr">
        <is>
          <t>A_HB_N_UP</t>
        </is>
      </c>
      <c r="T5" s="8" t="inlineStr">
        <is>
          <t>A_HB_R2_UP</t>
        </is>
      </c>
      <c r="U5" s="8" t="inlineStr">
        <is>
          <t>A_HB_R2_DN</t>
        </is>
      </c>
      <c r="V5" s="8" t="inlineStr">
        <is>
          <t>A_HB_TAUY_DN</t>
        </is>
      </c>
      <c r="W5" s="8" t="inlineStr">
        <is>
          <t>A_HB_K_DN</t>
        </is>
      </c>
      <c r="X5" s="8" t="inlineStr">
        <is>
          <t>A_HB_N_DN</t>
        </is>
      </c>
      <c r="Y5" s="8" t="inlineStr">
        <is>
          <t>A_HB_TAUY_RATIO</t>
        </is>
      </c>
      <c r="Z5" s="8" t="inlineStr">
        <is>
          <t>A_HDI</t>
        </is>
      </c>
      <c r="AA5" s="8" t="inlineStr">
        <is>
          <t>A_OVS_L</t>
        </is>
      </c>
      <c r="AB5" s="8" t="inlineStr">
        <is>
          <t>A_HB_GRANGE</t>
        </is>
      </c>
      <c r="AC5" s="8" t="inlineStr">
        <is>
          <t>A_ETA_MIN_UP</t>
        </is>
      </c>
      <c r="AD5" s="8" t="inlineStr">
        <is>
          <t>A_ETA_HIGH</t>
        </is>
      </c>
      <c r="AE5" s="8" t="inlineStr">
        <is>
          <t>A_ETA_LOW_DN</t>
        </is>
      </c>
      <c r="AF5" s="8" t="inlineStr">
        <is>
          <t>A_STATIC_YIELD_APPROX_UP</t>
        </is>
      </c>
      <c r="AG5" s="8" t="inlineStr">
        <is>
          <t>A_POST_SHEAR_STARTUP_STRESS</t>
        </is>
      </c>
      <c r="AH5" s="8" t="inlineStr">
        <is>
          <t>A_POST_SHEAR_STRESS_RETENTION</t>
        </is>
      </c>
      <c r="AI5" s="8" t="inlineStr">
        <is>
          <t>A_ETA_RECOVERY_LOW</t>
        </is>
      </c>
      <c r="AJ5" s="8" t="inlineStr">
        <is>
          <t>A_HYS_AREA_SIGNED</t>
        </is>
      </c>
      <c r="AK5" s="8" t="inlineStr">
        <is>
          <t>A_HYS_AREA_ABS</t>
        </is>
      </c>
      <c r="AL5" s="8" t="inlineStr">
        <is>
          <t>A_HB_K_RATIO</t>
        </is>
      </c>
      <c r="AM5" s="8" t="inlineStr">
        <is>
          <t>A_HB_N_DIFF</t>
        </is>
      </c>
      <c r="AN5" s="8" t="inlineStr">
        <is>
          <t>A_HB_TAUY_UP_COMMON</t>
        </is>
      </c>
      <c r="AO5" s="8" t="inlineStr">
        <is>
          <t>A_HB_K_UP_COMMON</t>
        </is>
      </c>
      <c r="AP5" s="8" t="inlineStr">
        <is>
          <t>A_HB_N_UP_COMMON</t>
        </is>
      </c>
      <c r="AQ5" s="8" t="inlineStr">
        <is>
          <t>A_HB_R2_UP_COMMON</t>
        </is>
      </c>
      <c r="AR5" s="8" t="inlineStr">
        <is>
          <t>A_HB_TAUY_DN_COMMON</t>
        </is>
      </c>
      <c r="AS5" s="8" t="inlineStr">
        <is>
          <t>A_HB_K_DN_COMMON</t>
        </is>
      </c>
      <c r="AT5" s="8" t="inlineStr">
        <is>
          <t>A_HB_N_DN_COMMON</t>
        </is>
      </c>
      <c r="AU5" s="8" t="inlineStr">
        <is>
          <t>A_HB_R2_DN_COMMON</t>
        </is>
      </c>
      <c r="AV5" s="8" t="inlineStr">
        <is>
          <t>A_HB_TAUY_RATIO_COMMON</t>
        </is>
      </c>
      <c r="AW5" s="8" t="inlineStr">
        <is>
          <t>A_STARTUP_PLATEAU_UP</t>
        </is>
      </c>
      <c r="AX5" s="8" t="inlineStr">
        <is>
          <t>A_POST_SHEAR_PLATEAU</t>
        </is>
      </c>
      <c r="AY5" s="8" t="inlineStr">
        <is>
          <t>A_PLATEAU_RETENTION</t>
        </is>
      </c>
      <c r="AZ5" s="8" t="inlineStr">
        <is>
          <t>A_TQ_L</t>
        </is>
      </c>
      <c r="BA5" s="8" t="inlineStr">
        <is>
          <t>A_RES_L</t>
        </is>
      </c>
      <c r="BB5" s="8" t="inlineStr">
        <is>
          <t>A_DUL_FLOOR</t>
        </is>
      </c>
      <c r="BC5" s="8" t="inlineStr">
        <is>
          <t>A_EQ_DRIFT_MAX</t>
        </is>
      </c>
      <c r="BD5" s="8" t="inlineStr">
        <is>
          <t>A_TEMP_MEAN</t>
        </is>
      </c>
      <c r="BE5" s="8" t="inlineStr">
        <is>
          <t>A_TEMP_SPAN</t>
        </is>
      </c>
      <c r="BF5" s="8" t="inlineStr">
        <is>
          <t>A_N_QUANT</t>
        </is>
      </c>
    </row>
    <row r="6">
      <c r="B6" t="inlineStr">
        <is>
          <t>SYN</t>
        </is>
      </c>
      <c r="C6" t="inlineStr">
        <is>
          <t>01</t>
        </is>
      </c>
      <c r="D6" t="inlineStr">
        <is>
          <t>HT-SYN-01.csv</t>
        </is>
      </c>
      <c r="E6" t="inlineStr"/>
      <c r="F6" t="inlineStr">
        <is>
          <t>INCLUSIVE</t>
        </is>
      </c>
      <c r="G6" t="inlineStr">
        <is>
          <t>VALID</t>
        </is>
      </c>
      <c r="H6" s="19" t="n"/>
      <c r="I6" s="19" t="n"/>
      <c r="J6" s="19" t="n"/>
      <c r="K6" s="20" t="n"/>
      <c r="L6" s="20" t="n"/>
      <c r="M6" s="19" t="n"/>
      <c r="N6" s="19" t="n"/>
      <c r="O6" s="19" t="n"/>
      <c r="P6" s="19" t="n"/>
      <c r="Q6" s="19" t="n"/>
      <c r="R6" s="20" t="n"/>
      <c r="S6" s="20" t="n"/>
      <c r="T6" s="20" t="n"/>
      <c r="U6" s="20" t="n"/>
      <c r="V6" s="19" t="n"/>
      <c r="W6" s="20" t="n"/>
      <c r="X6" s="20" t="n"/>
      <c r="Y6" s="19" t="n"/>
      <c r="Z6" s="19" t="n"/>
      <c r="AA6" s="19" t="n"/>
      <c r="AB6" s="20" t="n"/>
      <c r="AC6" s="21" t="n"/>
      <c r="AD6" s="21" t="n"/>
      <c r="AE6" s="21" t="n"/>
      <c r="AF6" s="19" t="n"/>
      <c r="AG6" s="19" t="n"/>
      <c r="AH6" s="19" t="n"/>
      <c r="AI6" s="19" t="n"/>
      <c r="AJ6" s="19" t="n"/>
      <c r="AK6" s="19" t="n"/>
      <c r="AL6" s="19" t="n"/>
      <c r="AM6" s="20" t="n"/>
      <c r="AN6" s="19" t="n"/>
      <c r="AO6" s="20" t="n"/>
      <c r="AP6" s="20" t="n"/>
      <c r="AQ6" s="20" t="n"/>
      <c r="AR6" s="19" t="n"/>
      <c r="AS6" s="20" t="n"/>
      <c r="AT6" s="20" t="n"/>
      <c r="AU6" s="20" t="n"/>
      <c r="AV6" s="19" t="n"/>
      <c r="AW6" s="19" t="n"/>
      <c r="AX6" s="19" t="n"/>
      <c r="AY6" s="19" t="n"/>
      <c r="AZ6" s="19" t="n"/>
      <c r="BA6" s="19" t="n"/>
      <c r="BB6" s="19" t="n"/>
      <c r="BC6" s="19" t="n"/>
      <c r="BD6" s="19" t="n"/>
      <c r="BE6" s="19" t="n"/>
      <c r="BF6" s="22" t="n"/>
    </row>
  </sheetData>
  <mergeCells count="3">
    <mergeCell ref="B3:P3"/>
    <mergeCell ref="B2:P2"/>
    <mergeCell ref="B4:P4"/>
  </mergeCells>
  <hyperlinks>
    <hyperlink ref="B1" location="'Lot_QC_Summary'!B2"/>
    <hyperlink ref="C1" location="'QC_Dictionary'!B2"/>
    <hyperlink ref="D1" location="'A_Replicates'!B2"/>
    <hyperlink ref="E1" location="'B_Replicates'!B2"/>
    <hyperlink ref="F1" location="'Density_Replicates'!B2"/>
    <hyperlink ref="G1" location="'A_Replicates_INCL'!B2"/>
    <hyperlink ref="H1" location="'A_Replicates_EXC'!B2"/>
    <hyperlink ref="I1" location="'Metric_Statistics'!B2"/>
    <hyperlink ref="J1" location="'A_Step_Replicates'!B2"/>
    <hyperlink ref="K1" location="'A_Step_Statistics'!B2"/>
    <hyperlink ref="L1" location="'Replicate_Flags'!B2"/>
    <hyperlink ref="M1" location="'Traceability'!B2"/>
  </hyperlink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Z69"/>
  <sheetViews>
    <sheetView showGridLines="0" workbookViewId="0">
      <pane xSplit="2" ySplit="5" topLeftCell="C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7" customWidth="1" min="2" max="2"/>
    <col width="8" customWidth="1" min="3" max="3"/>
    <col width="6" customWidth="1" min="4" max="4"/>
    <col width="8" customWidth="1" min="5" max="5"/>
    <col width="13" customWidth="1" min="6" max="6"/>
    <col width="13" customWidth="1" min="7" max="7"/>
    <col width="15" customWidth="1" min="8" max="8"/>
    <col width="13" customWidth="1" min="9" max="9"/>
    <col width="13" customWidth="1" min="10" max="10"/>
    <col width="11" customWidth="1" min="11" max="11"/>
    <col width="11" customWidth="1" min="12" max="12"/>
    <col width="6" customWidth="1" min="13" max="13"/>
    <col width="6" customWidth="1" min="14" max="14"/>
    <col width="34" customWidth="1" min="15" max="15"/>
    <col width="12" customWidth="1" min="16" max="16"/>
    <col width="14" customWidth="1" min="17" max="17"/>
    <col width="13" customWidth="1" min="18" max="18"/>
    <col width="16" customWidth="1" min="19" max="19"/>
    <col width="7" customWidth="1" min="20" max="20"/>
    <col width="13" customWidth="1" min="21" max="21"/>
    <col width="14" customWidth="1" min="22" max="22"/>
    <col width="14" customWidth="1" min="23" max="23"/>
  </cols>
  <sheetData>
    <row r="1">
      <c r="B1" s="1" t="inlineStr">
        <is>
          <t>Lot_QC_Summary</t>
        </is>
      </c>
      <c r="C1" s="1" t="inlineStr">
        <is>
          <t>QC_Dictionary</t>
        </is>
      </c>
      <c r="D1" s="1" t="inlineStr">
        <is>
          <t>A_Replicates</t>
        </is>
      </c>
      <c r="E1" s="1" t="inlineStr">
        <is>
          <t>B_Replicates</t>
        </is>
      </c>
      <c r="F1" s="1" t="inlineStr">
        <is>
          <t>Density_Replicates</t>
        </is>
      </c>
      <c r="G1" s="1" t="inlineStr">
        <is>
          <t>A_Replicates_INCL</t>
        </is>
      </c>
      <c r="H1" s="1" t="inlineStr">
        <is>
          <t>A_Replicates_EXC</t>
        </is>
      </c>
      <c r="I1" s="1" t="inlineStr">
        <is>
          <t>Metric_Statistics</t>
        </is>
      </c>
      <c r="J1" s="1" t="inlineStr">
        <is>
          <t>A_Step_Replicates</t>
        </is>
      </c>
      <c r="K1" s="1" t="inlineStr">
        <is>
          <t>A_Step_Statistics</t>
        </is>
      </c>
      <c r="L1" s="1" t="inlineStr">
        <is>
          <t>Replicate_Flags</t>
        </is>
      </c>
      <c r="M1" s="1" t="inlineStr">
        <is>
          <t>Traceability</t>
        </is>
      </c>
    </row>
    <row r="2" ht="28" customHeight="1">
      <c r="B2" s="2" t="inlineStr">
        <is>
          <t>Metric_Statistics — STRICT/INCLUSIVE 감사용 반복 통계(수식)</t>
        </is>
      </c>
    </row>
    <row r="3" ht="30" customHeight="1">
      <c r="B3" s="3" t="inlineStr">
        <is>
          <t>감사·method 검토용 시트입니다. 좌측은 STRICT(60 s·Torque 10–95%) 통계, 우측은 INCLUSIVE 통계와 차이입니다. 일상 판독은 Lot_QC_Summary의 대표 채널 값을 사용합니다. RSD는 0 기준 차이형 지표(zero_ref)에서 'N/A(0 기준)', |Mean|&lt;SD이면 'N/A(|Mean|&lt;SD)'로 표시합니다. Inclusive 평균은 정책이 허용한 값 구분만 집계하고, n Low/High-TQ Ref는 참고값 개수입니다.</t>
        </is>
      </c>
    </row>
    <row r="5" ht="28" customHeight="1">
      <c r="B5" s="8" t="inlineStr">
        <is>
          <t>Code</t>
        </is>
      </c>
      <c r="C5" s="8" t="inlineStr">
        <is>
          <t>Method</t>
        </is>
      </c>
      <c r="D5" s="8" t="inlineStr">
        <is>
          <t>Tier</t>
        </is>
      </c>
      <c r="E5" s="8" t="inlineStr">
        <is>
          <t>n Strict</t>
        </is>
      </c>
      <c r="F5" s="8" t="inlineStr">
        <is>
          <t>Strict Mean</t>
        </is>
      </c>
      <c r="G5" s="8" t="inlineStr">
        <is>
          <t>Strict SD</t>
        </is>
      </c>
      <c r="H5" s="8" t="inlineStr">
        <is>
          <t>Strict RSD(%)</t>
        </is>
      </c>
      <c r="I5" s="8" t="inlineStr">
        <is>
          <t>Strict Min</t>
        </is>
      </c>
      <c r="J5" s="8" t="inlineStr">
        <is>
          <t>Strict Max</t>
        </is>
      </c>
      <c r="K5" s="8" t="inlineStr">
        <is>
          <t>Strict Range</t>
        </is>
      </c>
      <c r="L5" s="8" t="inlineStr">
        <is>
          <t>Strict |Mean|</t>
        </is>
      </c>
      <c r="M5" s="8" t="inlineStr">
        <is>
          <t>Strict n(+)</t>
        </is>
      </c>
      <c r="N5" s="8" t="inlineStr">
        <is>
          <t>Strict n(−)</t>
        </is>
      </c>
      <c r="O5" s="8" t="inlineStr">
        <is>
          <t>Strict 원본 범위</t>
        </is>
      </c>
      <c r="P5" s="8" t="inlineStr">
        <is>
          <t>n Inclusive</t>
        </is>
      </c>
      <c r="Q5" s="8" t="inlineStr">
        <is>
          <t>Inclusive Mean</t>
        </is>
      </c>
      <c r="R5" s="8" t="inlineStr">
        <is>
          <t>Inclusive SD</t>
        </is>
      </c>
      <c r="S5" s="8" t="inlineStr">
        <is>
          <t>Δ Mean (Inclusive−Strict)</t>
        </is>
      </c>
      <c r="T5" s="8" t="inlineStr">
        <is>
          <t>n EXC</t>
        </is>
      </c>
      <c r="U5" s="8" t="inlineStr">
        <is>
          <t>EXC Mean</t>
        </is>
      </c>
      <c r="V5" s="8" t="inlineStr">
        <is>
          <t>n Low-TQ Ref</t>
        </is>
      </c>
      <c r="W5" s="8" t="inlineStr">
        <is>
          <t>n High-TQ Ref</t>
        </is>
      </c>
      <c r="X5" s="8" t="inlineStr">
        <is>
          <t>Inclusive Min</t>
        </is>
      </c>
      <c r="Y5" s="8" t="inlineStr">
        <is>
          <t>Inclusive Max</t>
        </is>
      </c>
      <c r="Z5" s="8" t="inlineStr">
        <is>
          <t>Inclusive Range</t>
        </is>
      </c>
    </row>
    <row r="6">
      <c r="B6" t="inlineStr">
        <is>
          <t>A_TAU_L_UP</t>
        </is>
      </c>
      <c r="C6" t="inlineStr">
        <is>
          <t>A</t>
        </is>
      </c>
      <c r="D6" t="inlineStr">
        <is>
          <t>T1</t>
        </is>
      </c>
      <c r="E6">
        <f>COUNT('A_Replicates'!BH6:BH6)</f>
        <v/>
      </c>
      <c r="F6" s="19">
        <f>IF(E6=0,"",AVERAGE('A_Replicates'!BH6:BH6))</f>
        <v/>
      </c>
      <c r="G6" s="19">
        <f>IF(E6&lt;2,"",STDEV('A_Replicates'!BH6:BH6))</f>
        <v/>
      </c>
      <c r="H6" s="19">
        <f>IF(E6&lt;2,"",IF(G6=0,0,IF(ABS(F6)&lt;G6,"N/A(|Mean|&lt;SD)",G6/ABS(F6)*100)))</f>
        <v/>
      </c>
      <c r="I6" s="19">
        <f>IF(E6=0,"",MIN('A_Replicates'!BH6:BH6))</f>
        <v/>
      </c>
      <c r="J6" s="19">
        <f>IF(E6=0,"",MAX('A_Replicates'!BH6:BH6))</f>
        <v/>
      </c>
      <c r="K6" s="19">
        <f>IF(E6=0,"",J6-I6)</f>
        <v/>
      </c>
      <c r="L6" s="19">
        <f>IF(E6=0,"",SUMPRODUCT(ABS('A_Replicates'!BH6:BH6))/E6)</f>
        <v/>
      </c>
      <c r="M6" s="22">
        <f>IF(E6=0,"",COUNTIF('A_Replicates'!BH6:BH6,"&gt;0"))</f>
        <v/>
      </c>
      <c r="N6" s="22">
        <f>IF(E6=0,"",COUNTIF('A_Replicates'!BH6:BH6,"&lt;0"))</f>
        <v/>
      </c>
      <c r="O6" t="inlineStr">
        <is>
          <t>'A_Replicates'!BH6:BH6</t>
        </is>
      </c>
      <c r="P6" s="22">
        <f>COUNT('A_Replicates_INCL'!BH6:BH6)</f>
        <v/>
      </c>
      <c r="Q6" s="19">
        <f>IF(P6=0,"",AVERAGE('A_Replicates_INCL'!BH6:BH6))</f>
        <v/>
      </c>
      <c r="R6" s="19">
        <f>IF(P6&lt;2,"",STDEV('A_Replicates_INCL'!BH6:BH6))</f>
        <v/>
      </c>
      <c r="S6" s="19">
        <f>IF(OR(P6=0,E6=0),"",Q6-F6)</f>
        <v/>
      </c>
      <c r="T6" s="22">
        <f>COUNT('A_Replicates_EXC'!H6:H6)</f>
        <v/>
      </c>
      <c r="U6" s="19">
        <f>IF(T6=0,"",AVERAGE('A_Replicates_EXC'!H6:H6))</f>
        <v/>
      </c>
      <c r="V6" s="22">
        <f>COUNTIF('A_Replicates_INCL'!HT6:HT6,"torque 하한 밖 참고값")+COUNTIF('A_Replicates_INCL'!HT6:HT6,"torque 범위 밖 참고값")</f>
        <v/>
      </c>
      <c r="W6" s="22">
        <f>COUNTIF('A_Replicates_INCL'!HT6:HT6,"torque 상한 밖 참고값")+COUNTIF('A_Replicates_INCL'!HT6:HT6,"torque 범위 밖 참고값")</f>
        <v/>
      </c>
      <c r="X6">
        <f>IF(P6=0,"",MIN('A_Replicates_INCL'!BH6:BH6))</f>
        <v/>
      </c>
      <c r="Y6">
        <f>IF(P6=0,"",MAX('A_Replicates_INCL'!BH6:BH6))</f>
        <v/>
      </c>
      <c r="Z6">
        <f>IF(P6=0,"",Y6-X6)</f>
        <v/>
      </c>
    </row>
    <row r="7">
      <c r="B7" t="inlineStr">
        <is>
          <t>A_TAU_M_UP</t>
        </is>
      </c>
      <c r="C7" t="inlineStr">
        <is>
          <t>A</t>
        </is>
      </c>
      <c r="D7" t="inlineStr">
        <is>
          <t>T1</t>
        </is>
      </c>
      <c r="E7">
        <f>COUNT('A_Replicates'!BK6:BK6)</f>
        <v/>
      </c>
      <c r="F7" s="19">
        <f>IF(E7=0,"",AVERAGE('A_Replicates'!BK6:BK6))</f>
        <v/>
      </c>
      <c r="G7" s="19">
        <f>IF(E7&lt;2,"",STDEV('A_Replicates'!BK6:BK6))</f>
        <v/>
      </c>
      <c r="H7" s="19">
        <f>IF(E7&lt;2,"",IF(G7=0,0,IF(ABS(F7)&lt;G7,"N/A(|Mean|&lt;SD)",G7/ABS(F7)*100)))</f>
        <v/>
      </c>
      <c r="I7" s="19">
        <f>IF(E7=0,"",MIN('A_Replicates'!BK6:BK6))</f>
        <v/>
      </c>
      <c r="J7" s="19">
        <f>IF(E7=0,"",MAX('A_Replicates'!BK6:BK6))</f>
        <v/>
      </c>
      <c r="K7" s="19">
        <f>IF(E7=0,"",J7-I7)</f>
        <v/>
      </c>
      <c r="L7" s="19">
        <f>IF(E7=0,"",SUMPRODUCT(ABS('A_Replicates'!BK6:BK6))/E7)</f>
        <v/>
      </c>
      <c r="M7" s="22">
        <f>IF(E7=0,"",COUNTIF('A_Replicates'!BK6:BK6,"&gt;0"))</f>
        <v/>
      </c>
      <c r="N7" s="22">
        <f>IF(E7=0,"",COUNTIF('A_Replicates'!BK6:BK6,"&lt;0"))</f>
        <v/>
      </c>
      <c r="O7" t="inlineStr">
        <is>
          <t>'A_Replicates'!BK6:BK6</t>
        </is>
      </c>
      <c r="P7" s="22">
        <f>COUNT('A_Replicates_INCL'!BK6:BK6)</f>
        <v/>
      </c>
      <c r="Q7" s="19">
        <f>IF(P7=0,"",AVERAGE('A_Replicates_INCL'!BK6:BK6))</f>
        <v/>
      </c>
      <c r="R7" s="19">
        <f>IF(P7&lt;2,"",STDEV('A_Replicates_INCL'!BK6:BK6))</f>
        <v/>
      </c>
      <c r="S7" s="19">
        <f>IF(OR(P7=0,E7=0),"",Q7-F7)</f>
        <v/>
      </c>
      <c r="T7" s="22">
        <f>COUNT('A_Replicates_EXC'!I6:I6)</f>
        <v/>
      </c>
      <c r="U7" s="19">
        <f>IF(T7=0,"",AVERAGE('A_Replicates_EXC'!I6:I6))</f>
        <v/>
      </c>
      <c r="V7" s="22">
        <f>COUNTIF('A_Replicates_INCL'!HU6:HU6,"torque 하한 밖 참고값")+COUNTIF('A_Replicates_INCL'!HU6:HU6,"torque 범위 밖 참고값")</f>
        <v/>
      </c>
      <c r="W7" s="22">
        <f>COUNTIF('A_Replicates_INCL'!HU6:HU6,"torque 상한 밖 참고값")+COUNTIF('A_Replicates_INCL'!HU6:HU6,"torque 범위 밖 참고값")</f>
        <v/>
      </c>
      <c r="X7">
        <f>IF(P7=0,"",MIN('A_Replicates_INCL'!BK6:BK6))</f>
        <v/>
      </c>
      <c r="Y7">
        <f>IF(P7=0,"",MAX('A_Replicates_INCL'!BK6:BK6))</f>
        <v/>
      </c>
      <c r="Z7">
        <f>IF(P7=0,"",Y7-X7)</f>
        <v/>
      </c>
    </row>
    <row r="8">
      <c r="B8" t="inlineStr">
        <is>
          <t>A_TAU_H_UP</t>
        </is>
      </c>
      <c r="C8" t="inlineStr">
        <is>
          <t>A</t>
        </is>
      </c>
      <c r="D8" t="inlineStr">
        <is>
          <t>T1</t>
        </is>
      </c>
      <c r="E8">
        <f>COUNT('A_Replicates'!BN6:BN6)</f>
        <v/>
      </c>
      <c r="F8" s="19">
        <f>IF(E8=0,"",AVERAGE('A_Replicates'!BN6:BN6))</f>
        <v/>
      </c>
      <c r="G8" s="19">
        <f>IF(E8&lt;2,"",STDEV('A_Replicates'!BN6:BN6))</f>
        <v/>
      </c>
      <c r="H8" s="19">
        <f>IF(E8&lt;2,"",IF(G8=0,0,IF(ABS(F8)&lt;G8,"N/A(|Mean|&lt;SD)",G8/ABS(F8)*100)))</f>
        <v/>
      </c>
      <c r="I8" s="19">
        <f>IF(E8=0,"",MIN('A_Replicates'!BN6:BN6))</f>
        <v/>
      </c>
      <c r="J8" s="19">
        <f>IF(E8=0,"",MAX('A_Replicates'!BN6:BN6))</f>
        <v/>
      </c>
      <c r="K8" s="19">
        <f>IF(E8=0,"",J8-I8)</f>
        <v/>
      </c>
      <c r="L8" s="19">
        <f>IF(E8=0,"",SUMPRODUCT(ABS('A_Replicates'!BN6:BN6))/E8)</f>
        <v/>
      </c>
      <c r="M8" s="22">
        <f>IF(E8=0,"",COUNTIF('A_Replicates'!BN6:BN6,"&gt;0"))</f>
        <v/>
      </c>
      <c r="N8" s="22">
        <f>IF(E8=0,"",COUNTIF('A_Replicates'!BN6:BN6,"&lt;0"))</f>
        <v/>
      </c>
      <c r="O8" t="inlineStr">
        <is>
          <t>'A_Replicates'!BN6:BN6</t>
        </is>
      </c>
      <c r="P8" s="22">
        <f>COUNT('A_Replicates_INCL'!BN6:BN6)</f>
        <v/>
      </c>
      <c r="Q8" s="19">
        <f>IF(P8=0,"",AVERAGE('A_Replicates_INCL'!BN6:BN6))</f>
        <v/>
      </c>
      <c r="R8" s="19">
        <f>IF(P8&lt;2,"",STDEV('A_Replicates_INCL'!BN6:BN6))</f>
        <v/>
      </c>
      <c r="S8" s="19">
        <f>IF(OR(P8=0,E8=0),"",Q8-F8)</f>
        <v/>
      </c>
      <c r="T8" s="22">
        <f>COUNT('A_Replicates_EXC'!J6:J6)</f>
        <v/>
      </c>
      <c r="U8" s="19">
        <f>IF(T8=0,"",AVERAGE('A_Replicates_EXC'!J6:J6))</f>
        <v/>
      </c>
      <c r="V8" s="22">
        <f>COUNTIF('A_Replicates_INCL'!HV6:HV6,"torque 하한 밖 참고값")+COUNTIF('A_Replicates_INCL'!HV6:HV6,"torque 범위 밖 참고값")</f>
        <v/>
      </c>
      <c r="W8" s="22">
        <f>COUNTIF('A_Replicates_INCL'!HV6:HV6,"torque 상한 밖 참고값")+COUNTIF('A_Replicates_INCL'!HV6:HV6,"torque 범위 밖 참고값")</f>
        <v/>
      </c>
      <c r="X8">
        <f>IF(P8=0,"",MIN('A_Replicates_INCL'!BN6:BN6))</f>
        <v/>
      </c>
      <c r="Y8">
        <f>IF(P8=0,"",MAX('A_Replicates_INCL'!BN6:BN6))</f>
        <v/>
      </c>
      <c r="Z8">
        <f>IF(P8=0,"",Y8-X8)</f>
        <v/>
      </c>
    </row>
    <row r="9">
      <c r="B9" t="inlineStr">
        <is>
          <t>A_ETA_MIN_UP</t>
        </is>
      </c>
      <c r="C9" t="inlineStr">
        <is>
          <t>A</t>
        </is>
      </c>
      <c r="D9" t="inlineStr">
        <is>
          <t>T1</t>
        </is>
      </c>
      <c r="E9">
        <f>COUNT('A_Replicates'!DS6:DS6)</f>
        <v/>
      </c>
      <c r="F9" s="21">
        <f>IF(E9=0,"",AVERAGE('A_Replicates'!DS6:DS6))</f>
        <v/>
      </c>
      <c r="G9" s="21">
        <f>IF(E9&lt;2,"",STDEV('A_Replicates'!DS6:DS6))</f>
        <v/>
      </c>
      <c r="H9" s="19">
        <f>IF(E9&lt;2,"",IF(G9=0,0,IF(ABS(F9)&lt;G9,"N/A(|Mean|&lt;SD)",G9/ABS(F9)*100)))</f>
        <v/>
      </c>
      <c r="I9" s="21">
        <f>IF(E9=0,"",MIN('A_Replicates'!DS6:DS6))</f>
        <v/>
      </c>
      <c r="J9" s="21">
        <f>IF(E9=0,"",MAX('A_Replicates'!DS6:DS6))</f>
        <v/>
      </c>
      <c r="K9" s="21">
        <f>IF(E9=0,"",J9-I9)</f>
        <v/>
      </c>
      <c r="L9" s="21">
        <f>IF(E9=0,"",SUMPRODUCT(ABS('A_Replicates'!DS6:DS6))/E9)</f>
        <v/>
      </c>
      <c r="M9" s="22">
        <f>IF(E9=0,"",COUNTIF('A_Replicates'!DS6:DS6,"&gt;0"))</f>
        <v/>
      </c>
      <c r="N9" s="22">
        <f>IF(E9=0,"",COUNTIF('A_Replicates'!DS6:DS6,"&lt;0"))</f>
        <v/>
      </c>
      <c r="O9" t="inlineStr">
        <is>
          <t>'A_Replicates'!DS6:DS6</t>
        </is>
      </c>
      <c r="P9" s="22">
        <f>COUNT('A_Replicates_INCL'!DS6:DS6)</f>
        <v/>
      </c>
      <c r="Q9" s="21">
        <f>IF(P9=0,"",AVERAGE('A_Replicates_INCL'!DS6:DS6))</f>
        <v/>
      </c>
      <c r="R9" s="21">
        <f>IF(P9&lt;2,"",STDEV('A_Replicates_INCL'!DS6:DS6))</f>
        <v/>
      </c>
      <c r="S9" s="21">
        <f>IF(OR(P9=0,E9=0),"",Q9-F9)</f>
        <v/>
      </c>
      <c r="T9" s="22">
        <f>COUNT('A_Replicates_EXC'!AC6:AC6)</f>
        <v/>
      </c>
      <c r="U9" s="21">
        <f>IF(T9=0,"",AVERAGE('A_Replicates_EXC'!AC6:AC6))</f>
        <v/>
      </c>
      <c r="V9" s="22">
        <f>COUNTIF('A_Replicates_INCL'!IO6:IO6,"torque 하한 밖 참고값")+COUNTIF('A_Replicates_INCL'!IO6:IO6,"torque 범위 밖 참고값")</f>
        <v/>
      </c>
      <c r="W9" s="22">
        <f>COUNTIF('A_Replicates_INCL'!IO6:IO6,"torque 상한 밖 참고값")+COUNTIF('A_Replicates_INCL'!IO6:IO6,"torque 범위 밖 참고값")</f>
        <v/>
      </c>
      <c r="X9">
        <f>IF(P9=0,"",MIN('A_Replicates_INCL'!DS6:DS6))</f>
        <v/>
      </c>
      <c r="Y9">
        <f>IF(P9=0,"",MAX('A_Replicates_INCL'!DS6:DS6))</f>
        <v/>
      </c>
      <c r="Z9">
        <f>IF(P9=0,"",Y9-X9)</f>
        <v/>
      </c>
    </row>
    <row r="10">
      <c r="B10" t="inlineStr">
        <is>
          <t>A_ETA_HIGH</t>
        </is>
      </c>
      <c r="C10" t="inlineStr">
        <is>
          <t>A</t>
        </is>
      </c>
      <c r="D10" t="inlineStr">
        <is>
          <t>T1</t>
        </is>
      </c>
      <c r="E10">
        <f>COUNT('A_Replicates'!DV6:DV6)</f>
        <v/>
      </c>
      <c r="F10" s="21">
        <f>IF(E10=0,"",AVERAGE('A_Replicates'!DV6:DV6))</f>
        <v/>
      </c>
      <c r="G10" s="21">
        <f>IF(E10&lt;2,"",STDEV('A_Replicates'!DV6:DV6))</f>
        <v/>
      </c>
      <c r="H10" s="19">
        <f>IF(E10&lt;2,"",IF(G10=0,0,IF(ABS(F10)&lt;G10,"N/A(|Mean|&lt;SD)",G10/ABS(F10)*100)))</f>
        <v/>
      </c>
      <c r="I10" s="21">
        <f>IF(E10=0,"",MIN('A_Replicates'!DV6:DV6))</f>
        <v/>
      </c>
      <c r="J10" s="21">
        <f>IF(E10=0,"",MAX('A_Replicates'!DV6:DV6))</f>
        <v/>
      </c>
      <c r="K10" s="21">
        <f>IF(E10=0,"",J10-I10)</f>
        <v/>
      </c>
      <c r="L10" s="21">
        <f>IF(E10=0,"",SUMPRODUCT(ABS('A_Replicates'!DV6:DV6))/E10)</f>
        <v/>
      </c>
      <c r="M10" s="22">
        <f>IF(E10=0,"",COUNTIF('A_Replicates'!DV6:DV6,"&gt;0"))</f>
        <v/>
      </c>
      <c r="N10" s="22">
        <f>IF(E10=0,"",COUNTIF('A_Replicates'!DV6:DV6,"&lt;0"))</f>
        <v/>
      </c>
      <c r="O10" t="inlineStr">
        <is>
          <t>'A_Replicates'!DV6:DV6</t>
        </is>
      </c>
      <c r="P10" s="22">
        <f>COUNT('A_Replicates_INCL'!DV6:DV6)</f>
        <v/>
      </c>
      <c r="Q10" s="21">
        <f>IF(P10=0,"",AVERAGE('A_Replicates_INCL'!DV6:DV6))</f>
        <v/>
      </c>
      <c r="R10" s="21">
        <f>IF(P10&lt;2,"",STDEV('A_Replicates_INCL'!DV6:DV6))</f>
        <v/>
      </c>
      <c r="S10" s="21">
        <f>IF(OR(P10=0,E10=0),"",Q10-F10)</f>
        <v/>
      </c>
      <c r="T10" s="22">
        <f>COUNT('A_Replicates_EXC'!AD6:AD6)</f>
        <v/>
      </c>
      <c r="U10" s="21">
        <f>IF(T10=0,"",AVERAGE('A_Replicates_EXC'!AD6:AD6))</f>
        <v/>
      </c>
      <c r="V10" s="22">
        <f>COUNTIF('A_Replicates_INCL'!IP6:IP6,"torque 하한 밖 참고값")+COUNTIF('A_Replicates_INCL'!IP6:IP6,"torque 범위 밖 참고값")</f>
        <v/>
      </c>
      <c r="W10" s="22">
        <f>COUNTIF('A_Replicates_INCL'!IP6:IP6,"torque 상한 밖 참고값")+COUNTIF('A_Replicates_INCL'!IP6:IP6,"torque 범위 밖 참고값")</f>
        <v/>
      </c>
      <c r="X10">
        <f>IF(P10=0,"",MIN('A_Replicates_INCL'!DV6:DV6))</f>
        <v/>
      </c>
      <c r="Y10">
        <f>IF(P10=0,"",MAX('A_Replicates_INCL'!DV6:DV6))</f>
        <v/>
      </c>
      <c r="Z10">
        <f>IF(P10=0,"",Y10-X10)</f>
        <v/>
      </c>
    </row>
    <row r="11">
      <c r="B11" t="inlineStr">
        <is>
          <t>A_SSI_FIELD_0P2_2</t>
        </is>
      </c>
      <c r="C11" t="inlineStr">
        <is>
          <t>A</t>
        </is>
      </c>
      <c r="D11" t="inlineStr">
        <is>
          <t>T1</t>
        </is>
      </c>
      <c r="E11">
        <f>COUNT('A_Replicates'!BQ6:BQ6)</f>
        <v/>
      </c>
      <c r="F11" s="20">
        <f>IF(E11=0,"",AVERAGE('A_Replicates'!BQ6:BQ6))</f>
        <v/>
      </c>
      <c r="G11" s="20">
        <f>IF(E11&lt;2,"",STDEV('A_Replicates'!BQ6:BQ6))</f>
        <v/>
      </c>
      <c r="H11" s="19">
        <f>IF(E11&lt;2,"",IF(G11=0,0,IF(ABS(F11)&lt;G11,"N/A(|Mean|&lt;SD)",G11/ABS(F11)*100)))</f>
        <v/>
      </c>
      <c r="I11" s="20">
        <f>IF(E11=0,"",MIN('A_Replicates'!BQ6:BQ6))</f>
        <v/>
      </c>
      <c r="J11" s="20">
        <f>IF(E11=0,"",MAX('A_Replicates'!BQ6:BQ6))</f>
        <v/>
      </c>
      <c r="K11" s="20">
        <f>IF(E11=0,"",J11-I11)</f>
        <v/>
      </c>
      <c r="L11" s="20">
        <f>IF(E11=0,"",SUMPRODUCT(ABS('A_Replicates'!BQ6:BQ6))/E11)</f>
        <v/>
      </c>
      <c r="M11" s="22">
        <f>IF(E11=0,"",COUNTIF('A_Replicates'!BQ6:BQ6,"&gt;0"))</f>
        <v/>
      </c>
      <c r="N11" s="22">
        <f>IF(E11=0,"",COUNTIF('A_Replicates'!BQ6:BQ6,"&lt;0"))</f>
        <v/>
      </c>
      <c r="O11" t="inlineStr">
        <is>
          <t>'A_Replicates'!BQ6:BQ6</t>
        </is>
      </c>
      <c r="P11" s="22">
        <f>COUNT('A_Replicates_INCL'!BQ6:BQ6)</f>
        <v/>
      </c>
      <c r="Q11" s="20">
        <f>IF(P11=0,"",AVERAGE('A_Replicates_INCL'!BQ6:BQ6))</f>
        <v/>
      </c>
      <c r="R11" s="20">
        <f>IF(P11&lt;2,"",STDEV('A_Replicates_INCL'!BQ6:BQ6))</f>
        <v/>
      </c>
      <c r="S11" s="20">
        <f>IF(OR(P11=0,E11=0),"",Q11-F11)</f>
        <v/>
      </c>
      <c r="T11" s="22">
        <f>COUNT('A_Replicates_EXC'!K6:K6)</f>
        <v/>
      </c>
      <c r="U11" s="20">
        <f>IF(T11=0,"",AVERAGE('A_Replicates_EXC'!K6:K6))</f>
        <v/>
      </c>
      <c r="V11" s="22">
        <f>COUNTIF('A_Replicates_INCL'!HW6:HW6,"torque 하한 밖 참고값")+COUNTIF('A_Replicates_INCL'!HW6:HW6,"torque 범위 밖 참고값")</f>
        <v/>
      </c>
      <c r="W11" s="22">
        <f>COUNTIF('A_Replicates_INCL'!HW6:HW6,"torque 상한 밖 참고값")+COUNTIF('A_Replicates_INCL'!HW6:HW6,"torque 범위 밖 참고값")</f>
        <v/>
      </c>
      <c r="X11">
        <f>IF(P11=0,"",MIN('A_Replicates_INCL'!BQ6:BQ6))</f>
        <v/>
      </c>
      <c r="Y11">
        <f>IF(P11=0,"",MAX('A_Replicates_INCL'!BQ6:BQ6))</f>
        <v/>
      </c>
      <c r="Z11">
        <f>IF(P11=0,"",Y11-X11)</f>
        <v/>
      </c>
    </row>
    <row r="12">
      <c r="B12" t="inlineStr">
        <is>
          <t>A_SSI_QC_0P5_5</t>
        </is>
      </c>
      <c r="C12" t="inlineStr">
        <is>
          <t>A</t>
        </is>
      </c>
      <c r="D12" t="inlineStr">
        <is>
          <t>T1</t>
        </is>
      </c>
      <c r="E12">
        <f>COUNT('A_Replicates'!BT6:BT6)</f>
        <v/>
      </c>
      <c r="F12" s="20">
        <f>IF(E12=0,"",AVERAGE('A_Replicates'!BT6:BT6))</f>
        <v/>
      </c>
      <c r="G12" s="20">
        <f>IF(E12&lt;2,"",STDEV('A_Replicates'!BT6:BT6))</f>
        <v/>
      </c>
      <c r="H12" s="19">
        <f>IF(E12&lt;2,"",IF(G12=0,0,IF(ABS(F12)&lt;G12,"N/A(|Mean|&lt;SD)",G12/ABS(F12)*100)))</f>
        <v/>
      </c>
      <c r="I12" s="20">
        <f>IF(E12=0,"",MIN('A_Replicates'!BT6:BT6))</f>
        <v/>
      </c>
      <c r="J12" s="20">
        <f>IF(E12=0,"",MAX('A_Replicates'!BT6:BT6))</f>
        <v/>
      </c>
      <c r="K12" s="20">
        <f>IF(E12=0,"",J12-I12)</f>
        <v/>
      </c>
      <c r="L12" s="20">
        <f>IF(E12=0,"",SUMPRODUCT(ABS('A_Replicates'!BT6:BT6))/E12)</f>
        <v/>
      </c>
      <c r="M12" s="22">
        <f>IF(E12=0,"",COUNTIF('A_Replicates'!BT6:BT6,"&gt;0"))</f>
        <v/>
      </c>
      <c r="N12" s="22">
        <f>IF(E12=0,"",COUNTIF('A_Replicates'!BT6:BT6,"&lt;0"))</f>
        <v/>
      </c>
      <c r="O12" t="inlineStr">
        <is>
          <t>'A_Replicates'!BT6:BT6</t>
        </is>
      </c>
      <c r="P12" s="22">
        <f>COUNT('A_Replicates_INCL'!BT6:BT6)</f>
        <v/>
      </c>
      <c r="Q12" s="20">
        <f>IF(P12=0,"",AVERAGE('A_Replicates_INCL'!BT6:BT6))</f>
        <v/>
      </c>
      <c r="R12" s="20">
        <f>IF(P12&lt;2,"",STDEV('A_Replicates_INCL'!BT6:BT6))</f>
        <v/>
      </c>
      <c r="S12" s="20">
        <f>IF(OR(P12=0,E12=0),"",Q12-F12)</f>
        <v/>
      </c>
      <c r="T12" s="22">
        <f>COUNT('A_Replicates_EXC'!L6:L6)</f>
        <v/>
      </c>
      <c r="U12" s="20">
        <f>IF(T12=0,"",AVERAGE('A_Replicates_EXC'!L6:L6))</f>
        <v/>
      </c>
      <c r="V12" s="22">
        <f>COUNTIF('A_Replicates_INCL'!HX6:HX6,"torque 하한 밖 참고값")+COUNTIF('A_Replicates_INCL'!HX6:HX6,"torque 범위 밖 참고값")</f>
        <v/>
      </c>
      <c r="W12" s="22">
        <f>COUNTIF('A_Replicates_INCL'!HX6:HX6,"torque 상한 밖 참고값")+COUNTIF('A_Replicates_INCL'!HX6:HX6,"torque 범위 밖 참고값")</f>
        <v/>
      </c>
      <c r="X12">
        <f>IF(P12=0,"",MIN('A_Replicates_INCL'!BT6:BT6))</f>
        <v/>
      </c>
      <c r="Y12">
        <f>IF(P12=0,"",MAX('A_Replicates_INCL'!BT6:BT6))</f>
        <v/>
      </c>
      <c r="Z12">
        <f>IF(P12=0,"",Y12-X12)</f>
        <v/>
      </c>
    </row>
    <row r="13">
      <c r="B13" t="inlineStr">
        <is>
          <t>A_ETA_LOW_DN</t>
        </is>
      </c>
      <c r="C13" t="inlineStr">
        <is>
          <t>A</t>
        </is>
      </c>
      <c r="D13" t="inlineStr">
        <is>
          <t>T1</t>
        </is>
      </c>
      <c r="E13">
        <f>COUNT('A_Replicates'!DY6:DY6)</f>
        <v/>
      </c>
      <c r="F13" s="21">
        <f>IF(E13=0,"",AVERAGE('A_Replicates'!DY6:DY6))</f>
        <v/>
      </c>
      <c r="G13" s="21">
        <f>IF(E13&lt;2,"",STDEV('A_Replicates'!DY6:DY6))</f>
        <v/>
      </c>
      <c r="H13" s="19">
        <f>IF(E13&lt;2,"",IF(G13=0,0,IF(ABS(F13)&lt;G13,"N/A(|Mean|&lt;SD)",G13/ABS(F13)*100)))</f>
        <v/>
      </c>
      <c r="I13" s="21">
        <f>IF(E13=0,"",MIN('A_Replicates'!DY6:DY6))</f>
        <v/>
      </c>
      <c r="J13" s="21">
        <f>IF(E13=0,"",MAX('A_Replicates'!DY6:DY6))</f>
        <v/>
      </c>
      <c r="K13" s="21">
        <f>IF(E13=0,"",J13-I13)</f>
        <v/>
      </c>
      <c r="L13" s="21">
        <f>IF(E13=0,"",SUMPRODUCT(ABS('A_Replicates'!DY6:DY6))/E13)</f>
        <v/>
      </c>
      <c r="M13" s="22">
        <f>IF(E13=0,"",COUNTIF('A_Replicates'!DY6:DY6,"&gt;0"))</f>
        <v/>
      </c>
      <c r="N13" s="22">
        <f>IF(E13=0,"",COUNTIF('A_Replicates'!DY6:DY6,"&lt;0"))</f>
        <v/>
      </c>
      <c r="O13" t="inlineStr">
        <is>
          <t>'A_Replicates'!DY6:DY6</t>
        </is>
      </c>
      <c r="P13" s="22">
        <f>COUNT('A_Replicates_INCL'!DY6:DY6)</f>
        <v/>
      </c>
      <c r="Q13" s="21">
        <f>IF(P13=0,"",AVERAGE('A_Replicates_INCL'!DY6:DY6))</f>
        <v/>
      </c>
      <c r="R13" s="21">
        <f>IF(P13&lt;2,"",STDEV('A_Replicates_INCL'!DY6:DY6))</f>
        <v/>
      </c>
      <c r="S13" s="21">
        <f>IF(OR(P13=0,E13=0),"",Q13-F13)</f>
        <v/>
      </c>
      <c r="T13" s="22">
        <f>COUNT('A_Replicates_EXC'!AE6:AE6)</f>
        <v/>
      </c>
      <c r="U13" s="21">
        <f>IF(T13=0,"",AVERAGE('A_Replicates_EXC'!AE6:AE6))</f>
        <v/>
      </c>
      <c r="V13" s="22">
        <f>COUNTIF('A_Replicates_INCL'!IQ6:IQ6,"torque 하한 밖 참고값")+COUNTIF('A_Replicates_INCL'!IQ6:IQ6,"torque 범위 밖 참고값")</f>
        <v/>
      </c>
      <c r="W13" s="22">
        <f>COUNTIF('A_Replicates_INCL'!IQ6:IQ6,"torque 상한 밖 참고값")+COUNTIF('A_Replicates_INCL'!IQ6:IQ6,"torque 범위 밖 참고값")</f>
        <v/>
      </c>
      <c r="X13">
        <f>IF(P13=0,"",MIN('A_Replicates_INCL'!DY6:DY6))</f>
        <v/>
      </c>
      <c r="Y13">
        <f>IF(P13=0,"",MAX('A_Replicates_INCL'!DY6:DY6))</f>
        <v/>
      </c>
      <c r="Z13">
        <f>IF(P13=0,"",Y13-X13)</f>
        <v/>
      </c>
    </row>
    <row r="14">
      <c r="B14" t="inlineStr">
        <is>
          <t>D_RHO25</t>
        </is>
      </c>
      <c r="C14" t="inlineStr">
        <is>
          <t>D</t>
        </is>
      </c>
      <c r="D14" t="inlineStr">
        <is>
          <t>T1</t>
        </is>
      </c>
      <c r="E14" t="n">
        <v>0</v>
      </c>
      <c r="F14" s="23">
        <f>""</f>
        <v/>
      </c>
      <c r="G14" s="23">
        <f>""</f>
        <v/>
      </c>
      <c r="H14" s="19">
        <f>""</f>
        <v/>
      </c>
      <c r="I14" s="23">
        <f>""</f>
        <v/>
      </c>
      <c r="J14" s="23">
        <f>""</f>
        <v/>
      </c>
      <c r="K14" s="23">
        <f>""</f>
        <v/>
      </c>
      <c r="L14" s="23">
        <f>""</f>
        <v/>
      </c>
      <c r="M14" s="22">
        <f>""</f>
        <v/>
      </c>
      <c r="N14" s="22">
        <f>""</f>
        <v/>
      </c>
      <c r="O14" t="inlineStr">
        <is>
          <t>반복 데이터 없음</t>
        </is>
      </c>
      <c r="P14" s="22" t="n">
        <v>0</v>
      </c>
      <c r="Q14" s="23">
        <f>""</f>
        <v/>
      </c>
      <c r="R14" s="23">
        <f>""</f>
        <v/>
      </c>
      <c r="S14" s="23">
        <f>""</f>
        <v/>
      </c>
      <c r="T14" s="22" t="n">
        <v>0</v>
      </c>
      <c r="U14" s="23">
        <f>""</f>
        <v/>
      </c>
      <c r="V14" s="22">
        <f>""</f>
        <v/>
      </c>
      <c r="W14" s="22">
        <f>""</f>
        <v/>
      </c>
    </row>
    <row r="15">
      <c r="B15" t="inlineStr">
        <is>
          <t>A_DU_L</t>
        </is>
      </c>
      <c r="C15" t="inlineStr">
        <is>
          <t>A</t>
        </is>
      </c>
      <c r="D15" t="inlineStr">
        <is>
          <t>T2</t>
        </is>
      </c>
      <c r="E15">
        <f>COUNT('A_Replicates'!BW6:BW6)</f>
        <v/>
      </c>
      <c r="F15" s="19">
        <f>IF(E15=0,"",AVERAGE('A_Replicates'!BW6:BW6))</f>
        <v/>
      </c>
      <c r="G15" s="19">
        <f>IF(E15&lt;2,"",STDEV('A_Replicates'!BW6:BW6))</f>
        <v/>
      </c>
      <c r="H15" s="19">
        <f>IF(E15&lt;2,"",IF(G15=0,0,IF(ABS(F15)&lt;G15,"N/A(|Mean|&lt;SD)",G15/ABS(F15)*100)))</f>
        <v/>
      </c>
      <c r="I15" s="19">
        <f>IF(E15=0,"",MIN('A_Replicates'!BW6:BW6))</f>
        <v/>
      </c>
      <c r="J15" s="19">
        <f>IF(E15=0,"",MAX('A_Replicates'!BW6:BW6))</f>
        <v/>
      </c>
      <c r="K15" s="19">
        <f>IF(E15=0,"",J15-I15)</f>
        <v/>
      </c>
      <c r="L15" s="19">
        <f>IF(E15=0,"",SUMPRODUCT(ABS('A_Replicates'!BW6:BW6))/E15)</f>
        <v/>
      </c>
      <c r="M15" s="22">
        <f>IF(E15=0,"",COUNTIF('A_Replicates'!BW6:BW6,"&gt;0"))</f>
        <v/>
      </c>
      <c r="N15" s="22">
        <f>IF(E15=0,"",COUNTIF('A_Replicates'!BW6:BW6,"&lt;0"))</f>
        <v/>
      </c>
      <c r="O15" t="inlineStr">
        <is>
          <t>'A_Replicates'!BW6:BW6</t>
        </is>
      </c>
      <c r="P15" s="22">
        <f>COUNT('A_Replicates_INCL'!BW6:BW6)</f>
        <v/>
      </c>
      <c r="Q15" s="19">
        <f>IF(P15=0,"",AVERAGE('A_Replicates_INCL'!BW6:BW6))</f>
        <v/>
      </c>
      <c r="R15" s="19">
        <f>IF(P15&lt;2,"",STDEV('A_Replicates_INCL'!BW6:BW6))</f>
        <v/>
      </c>
      <c r="S15" s="19">
        <f>IF(OR(P15=0,E15=0),"",Q15-F15)</f>
        <v/>
      </c>
      <c r="T15" s="22">
        <f>COUNT('A_Replicates_EXC'!M6:M6)</f>
        <v/>
      </c>
      <c r="U15" s="19">
        <f>IF(T15=0,"",AVERAGE('A_Replicates_EXC'!M6:M6))</f>
        <v/>
      </c>
      <c r="V15" s="22">
        <f>COUNTIF('A_Replicates_INCL'!HY6:HY6,"torque 하한 밖 참고값")+COUNTIF('A_Replicates_INCL'!HY6:HY6,"torque 범위 밖 참고값")</f>
        <v/>
      </c>
      <c r="W15" s="22">
        <f>COUNTIF('A_Replicates_INCL'!HY6:HY6,"torque 상한 밖 참고값")+COUNTIF('A_Replicates_INCL'!HY6:HY6,"torque 범위 밖 참고값")</f>
        <v/>
      </c>
      <c r="X15">
        <f>IF(P15=0,"",MIN('A_Replicates_INCL'!BW6:BW6))</f>
        <v/>
      </c>
      <c r="Y15">
        <f>IF(P15=0,"",MAX('A_Replicates_INCL'!BW6:BW6))</f>
        <v/>
      </c>
      <c r="Z15">
        <f>IF(P15=0,"",Y15-X15)</f>
        <v/>
      </c>
    </row>
    <row r="16">
      <c r="B16" t="inlineStr">
        <is>
          <t>A_DU_M</t>
        </is>
      </c>
      <c r="C16" t="inlineStr">
        <is>
          <t>A</t>
        </is>
      </c>
      <c r="D16" t="inlineStr">
        <is>
          <t>T2</t>
        </is>
      </c>
      <c r="E16">
        <f>COUNT('A_Replicates'!BZ6:BZ6)</f>
        <v/>
      </c>
      <c r="F16" s="19">
        <f>IF(E16=0,"",AVERAGE('A_Replicates'!BZ6:BZ6))</f>
        <v/>
      </c>
      <c r="G16" s="19">
        <f>IF(E16&lt;2,"",STDEV('A_Replicates'!BZ6:BZ6))</f>
        <v/>
      </c>
      <c r="H16" s="19">
        <f>IF(E16&lt;2,"",IF(G16=0,0,IF(ABS(F16)&lt;G16,"N/A(|Mean|&lt;SD)",G16/ABS(F16)*100)))</f>
        <v/>
      </c>
      <c r="I16" s="19">
        <f>IF(E16=0,"",MIN('A_Replicates'!BZ6:BZ6))</f>
        <v/>
      </c>
      <c r="J16" s="19">
        <f>IF(E16=0,"",MAX('A_Replicates'!BZ6:BZ6))</f>
        <v/>
      </c>
      <c r="K16" s="19">
        <f>IF(E16=0,"",J16-I16)</f>
        <v/>
      </c>
      <c r="L16" s="19">
        <f>IF(E16=0,"",SUMPRODUCT(ABS('A_Replicates'!BZ6:BZ6))/E16)</f>
        <v/>
      </c>
      <c r="M16" s="22">
        <f>IF(E16=0,"",COUNTIF('A_Replicates'!BZ6:BZ6,"&gt;0"))</f>
        <v/>
      </c>
      <c r="N16" s="22">
        <f>IF(E16=0,"",COUNTIF('A_Replicates'!BZ6:BZ6,"&lt;0"))</f>
        <v/>
      </c>
      <c r="O16" t="inlineStr">
        <is>
          <t>'A_Replicates'!BZ6:BZ6</t>
        </is>
      </c>
      <c r="P16" s="22">
        <f>COUNT('A_Replicates_INCL'!BZ6:BZ6)</f>
        <v/>
      </c>
      <c r="Q16" s="19">
        <f>IF(P16=0,"",AVERAGE('A_Replicates_INCL'!BZ6:BZ6))</f>
        <v/>
      </c>
      <c r="R16" s="19">
        <f>IF(P16&lt;2,"",STDEV('A_Replicates_INCL'!BZ6:BZ6))</f>
        <v/>
      </c>
      <c r="S16" s="19">
        <f>IF(OR(P16=0,E16=0),"",Q16-F16)</f>
        <v/>
      </c>
      <c r="T16" s="22">
        <f>COUNT('A_Replicates_EXC'!N6:N6)</f>
        <v/>
      </c>
      <c r="U16" s="19">
        <f>IF(T16=0,"",AVERAGE('A_Replicates_EXC'!N6:N6))</f>
        <v/>
      </c>
      <c r="V16" s="22">
        <f>COUNTIF('A_Replicates_INCL'!HZ6:HZ6,"torque 하한 밖 참고값")+COUNTIF('A_Replicates_INCL'!HZ6:HZ6,"torque 범위 밖 참고값")</f>
        <v/>
      </c>
      <c r="W16" s="22">
        <f>COUNTIF('A_Replicates_INCL'!HZ6:HZ6,"torque 상한 밖 참고값")+COUNTIF('A_Replicates_INCL'!HZ6:HZ6,"torque 범위 밖 참고값")</f>
        <v/>
      </c>
      <c r="X16">
        <f>IF(P16=0,"",MIN('A_Replicates_INCL'!BZ6:BZ6))</f>
        <v/>
      </c>
      <c r="Y16">
        <f>IF(P16=0,"",MAX('A_Replicates_INCL'!BZ6:BZ6))</f>
        <v/>
      </c>
      <c r="Z16">
        <f>IF(P16=0,"",Y16-X16)</f>
        <v/>
      </c>
    </row>
    <row r="17">
      <c r="B17" t="inlineStr">
        <is>
          <t>A_HYS_REL</t>
        </is>
      </c>
      <c r="C17" t="inlineStr">
        <is>
          <t>A</t>
        </is>
      </c>
      <c r="D17" t="inlineStr">
        <is>
          <t>T2</t>
        </is>
      </c>
      <c r="E17">
        <f>COUNT('A_Replicates'!CC6:CC6)</f>
        <v/>
      </c>
      <c r="F17" s="19">
        <f>IF(E17=0,"",AVERAGE('A_Replicates'!CC6:CC6))</f>
        <v/>
      </c>
      <c r="G17" s="19">
        <f>IF(E17&lt;2,"",STDEV('A_Replicates'!CC6:CC6))</f>
        <v/>
      </c>
      <c r="H17" s="19">
        <f>IF(E17&lt;2,"",IF(G17=0,0,IF(ABS(F17)&lt;G17,"N/A(|Mean|&lt;SD)",G17/ABS(F17)*100)))</f>
        <v/>
      </c>
      <c r="I17" s="19">
        <f>IF(E17=0,"",MIN('A_Replicates'!CC6:CC6))</f>
        <v/>
      </c>
      <c r="J17" s="19">
        <f>IF(E17=0,"",MAX('A_Replicates'!CC6:CC6))</f>
        <v/>
      </c>
      <c r="K17" s="19">
        <f>IF(E17=0,"",J17-I17)</f>
        <v/>
      </c>
      <c r="L17" s="19">
        <f>IF(E17=0,"",SUMPRODUCT(ABS('A_Replicates'!CC6:CC6))/E17)</f>
        <v/>
      </c>
      <c r="M17" s="22">
        <f>IF(E17=0,"",COUNTIF('A_Replicates'!CC6:CC6,"&gt;0"))</f>
        <v/>
      </c>
      <c r="N17" s="22">
        <f>IF(E17=0,"",COUNTIF('A_Replicates'!CC6:CC6,"&lt;0"))</f>
        <v/>
      </c>
      <c r="O17" t="inlineStr">
        <is>
          <t>'A_Replicates'!CC6:CC6</t>
        </is>
      </c>
      <c r="P17" s="22">
        <f>COUNT('A_Replicates_INCL'!CC6:CC6)</f>
        <v/>
      </c>
      <c r="Q17" s="19">
        <f>IF(P17=0,"",AVERAGE('A_Replicates_INCL'!CC6:CC6))</f>
        <v/>
      </c>
      <c r="R17" s="19">
        <f>IF(P17&lt;2,"",STDEV('A_Replicates_INCL'!CC6:CC6))</f>
        <v/>
      </c>
      <c r="S17" s="19">
        <f>IF(OR(P17=0,E17=0),"",Q17-F17)</f>
        <v/>
      </c>
      <c r="T17" s="22">
        <f>COUNT('A_Replicates_EXC'!O6:O6)</f>
        <v/>
      </c>
      <c r="U17" s="19">
        <f>IF(T17=0,"",AVERAGE('A_Replicates_EXC'!O6:O6))</f>
        <v/>
      </c>
      <c r="V17" s="22">
        <f>COUNTIF('A_Replicates_INCL'!IA6:IA6,"torque 하한 밖 참고값")+COUNTIF('A_Replicates_INCL'!IA6:IA6,"torque 범위 밖 참고값")</f>
        <v/>
      </c>
      <c r="W17" s="22">
        <f>COUNTIF('A_Replicates_INCL'!IA6:IA6,"torque 상한 밖 참고값")+COUNTIF('A_Replicates_INCL'!IA6:IA6,"torque 범위 밖 참고값")</f>
        <v/>
      </c>
      <c r="X17">
        <f>IF(P17=0,"",MIN('A_Replicates_INCL'!CC6:CC6))</f>
        <v/>
      </c>
      <c r="Y17">
        <f>IF(P17=0,"",MAX('A_Replicates_INCL'!CC6:CC6))</f>
        <v/>
      </c>
      <c r="Z17">
        <f>IF(P17=0,"",Y17-X17)</f>
        <v/>
      </c>
    </row>
    <row r="18">
      <c r="B18" t="inlineStr">
        <is>
          <t>A_BRK_PEAK</t>
        </is>
      </c>
      <c r="C18" t="inlineStr">
        <is>
          <t>A</t>
        </is>
      </c>
      <c r="D18" t="inlineStr">
        <is>
          <t>T2</t>
        </is>
      </c>
      <c r="E18">
        <f>COUNT('A_Replicates'!CF6:CF6)</f>
        <v/>
      </c>
      <c r="F18" s="19">
        <f>IF(E18=0,"",AVERAGE('A_Replicates'!CF6:CF6))</f>
        <v/>
      </c>
      <c r="G18" s="19">
        <f>IF(E18&lt;2,"",STDEV('A_Replicates'!CF6:CF6))</f>
        <v/>
      </c>
      <c r="H18" s="19">
        <f>IF(E18&lt;2,"","N/A(0 기준)")</f>
        <v/>
      </c>
      <c r="I18" s="19">
        <f>IF(E18=0,"",MIN('A_Replicates'!CF6:CF6))</f>
        <v/>
      </c>
      <c r="J18" s="19">
        <f>IF(E18=0,"",MAX('A_Replicates'!CF6:CF6))</f>
        <v/>
      </c>
      <c r="K18" s="19">
        <f>IF(E18=0,"",J18-I18)</f>
        <v/>
      </c>
      <c r="L18" s="19">
        <f>IF(E18=0,"",SUMPRODUCT(ABS('A_Replicates'!CF6:CF6))/E18)</f>
        <v/>
      </c>
      <c r="M18" s="22">
        <f>IF(E18=0,"",COUNTIF('A_Replicates'!CF6:CF6,"&gt;0"))</f>
        <v/>
      </c>
      <c r="N18" s="22">
        <f>IF(E18=0,"",COUNTIF('A_Replicates'!CF6:CF6,"&lt;0"))</f>
        <v/>
      </c>
      <c r="O18" t="inlineStr">
        <is>
          <t>'A_Replicates'!CF6:CF6</t>
        </is>
      </c>
      <c r="P18" s="22">
        <f>COUNT('A_Replicates_INCL'!CF6:CF6)</f>
        <v/>
      </c>
      <c r="Q18" s="19">
        <f>IF(P18=0,"",AVERAGE('A_Replicates_INCL'!CF6:CF6))</f>
        <v/>
      </c>
      <c r="R18" s="19">
        <f>IF(P18&lt;2,"",STDEV('A_Replicates_INCL'!CF6:CF6))</f>
        <v/>
      </c>
      <c r="S18" s="19">
        <f>IF(OR(P18=0,E18=0),"",Q18-F18)</f>
        <v/>
      </c>
      <c r="T18" s="22">
        <f>COUNT('A_Replicates_EXC'!P6:P6)</f>
        <v/>
      </c>
      <c r="U18" s="19">
        <f>IF(T18=0,"",AVERAGE('A_Replicates_EXC'!P6:P6))</f>
        <v/>
      </c>
      <c r="V18" s="22">
        <f>COUNTIF('A_Replicates_INCL'!IB6:IB6,"torque 하한 밖 참고값")+COUNTIF('A_Replicates_INCL'!IB6:IB6,"torque 범위 밖 참고값")</f>
        <v/>
      </c>
      <c r="W18" s="22">
        <f>COUNTIF('A_Replicates_INCL'!IB6:IB6,"torque 상한 밖 참고값")+COUNTIF('A_Replicates_INCL'!IB6:IB6,"torque 범위 밖 참고값")</f>
        <v/>
      </c>
      <c r="X18">
        <f>IF(P18=0,"",MIN('A_Replicates_INCL'!CF6:CF6))</f>
        <v/>
      </c>
      <c r="Y18">
        <f>IF(P18=0,"",MAX('A_Replicates_INCL'!CF6:CF6))</f>
        <v/>
      </c>
      <c r="Z18">
        <f>IF(P18=0,"",Y18-X18)</f>
        <v/>
      </c>
    </row>
    <row r="19">
      <c r="B19" t="inlineStr">
        <is>
          <t>A_STATIC_YIELD_APPROX_UP</t>
        </is>
      </c>
      <c r="C19" t="inlineStr">
        <is>
          <t>A</t>
        </is>
      </c>
      <c r="D19" t="inlineStr">
        <is>
          <t>T2</t>
        </is>
      </c>
      <c r="E19">
        <f>COUNT('A_Replicates'!EB6:EB6)</f>
        <v/>
      </c>
      <c r="F19" s="19">
        <f>IF(E19=0,"",AVERAGE('A_Replicates'!EB6:EB6))</f>
        <v/>
      </c>
      <c r="G19" s="19">
        <f>IF(E19&lt;2,"",STDEV('A_Replicates'!EB6:EB6))</f>
        <v/>
      </c>
      <c r="H19" s="19">
        <f>IF(E19&lt;2,"",IF(G19=0,0,IF(ABS(F19)&lt;G19,"N/A(|Mean|&lt;SD)",G19/ABS(F19)*100)))</f>
        <v/>
      </c>
      <c r="I19" s="19">
        <f>IF(E19=0,"",MIN('A_Replicates'!EB6:EB6))</f>
        <v/>
      </c>
      <c r="J19" s="19">
        <f>IF(E19=0,"",MAX('A_Replicates'!EB6:EB6))</f>
        <v/>
      </c>
      <c r="K19" s="19">
        <f>IF(E19=0,"",J19-I19)</f>
        <v/>
      </c>
      <c r="L19" s="19">
        <f>IF(E19=0,"",SUMPRODUCT(ABS('A_Replicates'!EB6:EB6))/E19)</f>
        <v/>
      </c>
      <c r="M19" s="22">
        <f>IF(E19=0,"",COUNTIF('A_Replicates'!EB6:EB6,"&gt;0"))</f>
        <v/>
      </c>
      <c r="N19" s="22">
        <f>IF(E19=0,"",COUNTIF('A_Replicates'!EB6:EB6,"&lt;0"))</f>
        <v/>
      </c>
      <c r="O19" t="inlineStr">
        <is>
          <t>'A_Replicates'!EB6:EB6</t>
        </is>
      </c>
      <c r="P19" s="22">
        <f>COUNT('A_Replicates_INCL'!EB6:EB6)</f>
        <v/>
      </c>
      <c r="Q19" s="19">
        <f>IF(P19=0,"",AVERAGE('A_Replicates_INCL'!EB6:EB6))</f>
        <v/>
      </c>
      <c r="R19" s="19">
        <f>IF(P19&lt;2,"",STDEV('A_Replicates_INCL'!EB6:EB6))</f>
        <v/>
      </c>
      <c r="S19" s="19">
        <f>IF(OR(P19=0,E19=0),"",Q19-F19)</f>
        <v/>
      </c>
      <c r="T19" s="22">
        <f>COUNT('A_Replicates_EXC'!AF6:AF6)</f>
        <v/>
      </c>
      <c r="U19" s="19">
        <f>IF(T19=0,"",AVERAGE('A_Replicates_EXC'!AF6:AF6))</f>
        <v/>
      </c>
      <c r="V19" s="22">
        <f>COUNTIF('A_Replicates_INCL'!IR6:IR6,"torque 하한 밖 참고값")+COUNTIF('A_Replicates_INCL'!IR6:IR6,"torque 범위 밖 참고값")</f>
        <v/>
      </c>
      <c r="W19" s="22">
        <f>COUNTIF('A_Replicates_INCL'!IR6:IR6,"torque 상한 밖 참고값")+COUNTIF('A_Replicates_INCL'!IR6:IR6,"torque 범위 밖 참고값")</f>
        <v/>
      </c>
      <c r="X19">
        <f>IF(P19=0,"",MIN('A_Replicates_INCL'!EB6:EB6))</f>
        <v/>
      </c>
      <c r="Y19">
        <f>IF(P19=0,"",MAX('A_Replicates_INCL'!EB6:EB6))</f>
        <v/>
      </c>
      <c r="Z19">
        <f>IF(P19=0,"",Y19-X19)</f>
        <v/>
      </c>
    </row>
    <row r="20">
      <c r="B20" t="inlineStr">
        <is>
          <t>A_POST_SHEAR_STARTUP_STRESS</t>
        </is>
      </c>
      <c r="C20" t="inlineStr">
        <is>
          <t>A</t>
        </is>
      </c>
      <c r="D20" t="inlineStr">
        <is>
          <t>T2</t>
        </is>
      </c>
      <c r="E20">
        <f>COUNT('A_Replicates'!EE6:EE6)</f>
        <v/>
      </c>
      <c r="F20" s="19">
        <f>IF(E20=0,"",AVERAGE('A_Replicates'!EE6:EE6))</f>
        <v/>
      </c>
      <c r="G20" s="19">
        <f>IF(E20&lt;2,"",STDEV('A_Replicates'!EE6:EE6))</f>
        <v/>
      </c>
      <c r="H20" s="19">
        <f>IF(E20&lt;2,"",IF(G20=0,0,IF(ABS(F20)&lt;G20,"N/A(|Mean|&lt;SD)",G20/ABS(F20)*100)))</f>
        <v/>
      </c>
      <c r="I20" s="19">
        <f>IF(E20=0,"",MIN('A_Replicates'!EE6:EE6))</f>
        <v/>
      </c>
      <c r="J20" s="19">
        <f>IF(E20=0,"",MAX('A_Replicates'!EE6:EE6))</f>
        <v/>
      </c>
      <c r="K20" s="19">
        <f>IF(E20=0,"",J20-I20)</f>
        <v/>
      </c>
      <c r="L20" s="19">
        <f>IF(E20=0,"",SUMPRODUCT(ABS('A_Replicates'!EE6:EE6))/E20)</f>
        <v/>
      </c>
      <c r="M20" s="22">
        <f>IF(E20=0,"",COUNTIF('A_Replicates'!EE6:EE6,"&gt;0"))</f>
        <v/>
      </c>
      <c r="N20" s="22">
        <f>IF(E20=0,"",COUNTIF('A_Replicates'!EE6:EE6,"&lt;0"))</f>
        <v/>
      </c>
      <c r="O20" t="inlineStr">
        <is>
          <t>'A_Replicates'!EE6:EE6</t>
        </is>
      </c>
      <c r="P20" s="22">
        <f>COUNT('A_Replicates_INCL'!EE6:EE6)</f>
        <v/>
      </c>
      <c r="Q20" s="19">
        <f>IF(P20=0,"",AVERAGE('A_Replicates_INCL'!EE6:EE6))</f>
        <v/>
      </c>
      <c r="R20" s="19">
        <f>IF(P20&lt;2,"",STDEV('A_Replicates_INCL'!EE6:EE6))</f>
        <v/>
      </c>
      <c r="S20" s="19">
        <f>IF(OR(P20=0,E20=0),"",Q20-F20)</f>
        <v/>
      </c>
      <c r="T20" s="22">
        <f>COUNT('A_Replicates_EXC'!AG6:AG6)</f>
        <v/>
      </c>
      <c r="U20" s="19">
        <f>IF(T20=0,"",AVERAGE('A_Replicates_EXC'!AG6:AG6))</f>
        <v/>
      </c>
      <c r="V20" s="22">
        <f>COUNTIF('A_Replicates_INCL'!IS6:IS6,"torque 하한 밖 참고값")+COUNTIF('A_Replicates_INCL'!IS6:IS6,"torque 범위 밖 참고값")</f>
        <v/>
      </c>
      <c r="W20" s="22">
        <f>COUNTIF('A_Replicates_INCL'!IS6:IS6,"torque 상한 밖 참고값")+COUNTIF('A_Replicates_INCL'!IS6:IS6,"torque 범위 밖 참고값")</f>
        <v/>
      </c>
      <c r="X20">
        <f>IF(P20=0,"",MIN('A_Replicates_INCL'!EE6:EE6))</f>
        <v/>
      </c>
      <c r="Y20">
        <f>IF(P20=0,"",MAX('A_Replicates_INCL'!EE6:EE6))</f>
        <v/>
      </c>
      <c r="Z20">
        <f>IF(P20=0,"",Y20-X20)</f>
        <v/>
      </c>
    </row>
    <row r="21">
      <c r="B21" t="inlineStr">
        <is>
          <t>A_POST_SHEAR_STRESS_RETENTION</t>
        </is>
      </c>
      <c r="C21" t="inlineStr">
        <is>
          <t>A</t>
        </is>
      </c>
      <c r="D21" t="inlineStr">
        <is>
          <t>T2</t>
        </is>
      </c>
      <c r="E21">
        <f>COUNT('A_Replicates'!EH6:EH6)</f>
        <v/>
      </c>
      <c r="F21" s="19">
        <f>IF(E21=0,"",AVERAGE('A_Replicates'!EH6:EH6))</f>
        <v/>
      </c>
      <c r="G21" s="19">
        <f>IF(E21&lt;2,"",STDEV('A_Replicates'!EH6:EH6))</f>
        <v/>
      </c>
      <c r="H21" s="19">
        <f>IF(E21&lt;2,"",IF(G21=0,0,IF(ABS(F21)&lt;G21,"N/A(|Mean|&lt;SD)",G21/ABS(F21)*100)))</f>
        <v/>
      </c>
      <c r="I21" s="19">
        <f>IF(E21=0,"",MIN('A_Replicates'!EH6:EH6))</f>
        <v/>
      </c>
      <c r="J21" s="19">
        <f>IF(E21=0,"",MAX('A_Replicates'!EH6:EH6))</f>
        <v/>
      </c>
      <c r="K21" s="19">
        <f>IF(E21=0,"",J21-I21)</f>
        <v/>
      </c>
      <c r="L21" s="19">
        <f>IF(E21=0,"",SUMPRODUCT(ABS('A_Replicates'!EH6:EH6))/E21)</f>
        <v/>
      </c>
      <c r="M21" s="22">
        <f>IF(E21=0,"",COUNTIF('A_Replicates'!EH6:EH6,"&gt;0"))</f>
        <v/>
      </c>
      <c r="N21" s="22">
        <f>IF(E21=0,"",COUNTIF('A_Replicates'!EH6:EH6,"&lt;0"))</f>
        <v/>
      </c>
      <c r="O21" t="inlineStr">
        <is>
          <t>'A_Replicates'!EH6:EH6</t>
        </is>
      </c>
      <c r="P21" s="22">
        <f>COUNT('A_Replicates_INCL'!EH6:EH6)</f>
        <v/>
      </c>
      <c r="Q21" s="19">
        <f>IF(P21=0,"",AVERAGE('A_Replicates_INCL'!EH6:EH6))</f>
        <v/>
      </c>
      <c r="R21" s="19">
        <f>IF(P21&lt;2,"",STDEV('A_Replicates_INCL'!EH6:EH6))</f>
        <v/>
      </c>
      <c r="S21" s="19">
        <f>IF(OR(P21=0,E21=0),"",Q21-F21)</f>
        <v/>
      </c>
      <c r="T21" s="22">
        <f>COUNT('A_Replicates_EXC'!AH6:AH6)</f>
        <v/>
      </c>
      <c r="U21" s="19">
        <f>IF(T21=0,"",AVERAGE('A_Replicates_EXC'!AH6:AH6))</f>
        <v/>
      </c>
      <c r="V21" s="22">
        <f>COUNTIF('A_Replicates_INCL'!IT6:IT6,"torque 하한 밖 참고값")+COUNTIF('A_Replicates_INCL'!IT6:IT6,"torque 범위 밖 참고값")</f>
        <v/>
      </c>
      <c r="W21" s="22">
        <f>COUNTIF('A_Replicates_INCL'!IT6:IT6,"torque 상한 밖 참고값")+COUNTIF('A_Replicates_INCL'!IT6:IT6,"torque 범위 밖 참고값")</f>
        <v/>
      </c>
      <c r="X21">
        <f>IF(P21=0,"",MIN('A_Replicates_INCL'!EH6:EH6))</f>
        <v/>
      </c>
      <c r="Y21">
        <f>IF(P21=0,"",MAX('A_Replicates_INCL'!EH6:EH6))</f>
        <v/>
      </c>
      <c r="Z21">
        <f>IF(P21=0,"",Y21-X21)</f>
        <v/>
      </c>
    </row>
    <row r="22">
      <c r="B22" t="inlineStr">
        <is>
          <t>A_ETA_RECOVERY_LOW</t>
        </is>
      </c>
      <c r="C22" t="inlineStr">
        <is>
          <t>A</t>
        </is>
      </c>
      <c r="D22" t="inlineStr">
        <is>
          <t>T2</t>
        </is>
      </c>
      <c r="E22">
        <f>COUNT('A_Replicates'!EK6:EK6)</f>
        <v/>
      </c>
      <c r="F22" s="19">
        <f>IF(E22=0,"",AVERAGE('A_Replicates'!EK6:EK6))</f>
        <v/>
      </c>
      <c r="G22" s="19">
        <f>IF(E22&lt;2,"",STDEV('A_Replicates'!EK6:EK6))</f>
        <v/>
      </c>
      <c r="H22" s="19">
        <f>IF(E22&lt;2,"",IF(G22=0,0,IF(ABS(F22)&lt;G22,"N/A(|Mean|&lt;SD)",G22/ABS(F22)*100)))</f>
        <v/>
      </c>
      <c r="I22" s="19">
        <f>IF(E22=0,"",MIN('A_Replicates'!EK6:EK6))</f>
        <v/>
      </c>
      <c r="J22" s="19">
        <f>IF(E22=0,"",MAX('A_Replicates'!EK6:EK6))</f>
        <v/>
      </c>
      <c r="K22" s="19">
        <f>IF(E22=0,"",J22-I22)</f>
        <v/>
      </c>
      <c r="L22" s="19">
        <f>IF(E22=0,"",SUMPRODUCT(ABS('A_Replicates'!EK6:EK6))/E22)</f>
        <v/>
      </c>
      <c r="M22" s="22">
        <f>IF(E22=0,"",COUNTIF('A_Replicates'!EK6:EK6,"&gt;0"))</f>
        <v/>
      </c>
      <c r="N22" s="22">
        <f>IF(E22=0,"",COUNTIF('A_Replicates'!EK6:EK6,"&lt;0"))</f>
        <v/>
      </c>
      <c r="O22" t="inlineStr">
        <is>
          <t>'A_Replicates'!EK6:EK6</t>
        </is>
      </c>
      <c r="P22" s="22">
        <f>COUNT('A_Replicates_INCL'!EK6:EK6)</f>
        <v/>
      </c>
      <c r="Q22" s="19">
        <f>IF(P22=0,"",AVERAGE('A_Replicates_INCL'!EK6:EK6))</f>
        <v/>
      </c>
      <c r="R22" s="19">
        <f>IF(P22&lt;2,"",STDEV('A_Replicates_INCL'!EK6:EK6))</f>
        <v/>
      </c>
      <c r="S22" s="19">
        <f>IF(OR(P22=0,E22=0),"",Q22-F22)</f>
        <v/>
      </c>
      <c r="T22" s="22">
        <f>COUNT('A_Replicates_EXC'!AI6:AI6)</f>
        <v/>
      </c>
      <c r="U22" s="19">
        <f>IF(T22=0,"",AVERAGE('A_Replicates_EXC'!AI6:AI6))</f>
        <v/>
      </c>
      <c r="V22" s="22">
        <f>COUNTIF('A_Replicates_INCL'!IU6:IU6,"torque 하한 밖 참고값")+COUNTIF('A_Replicates_INCL'!IU6:IU6,"torque 범위 밖 참고값")</f>
        <v/>
      </c>
      <c r="W22" s="22">
        <f>COUNTIF('A_Replicates_INCL'!IU6:IU6,"torque 상한 밖 참고값")+COUNTIF('A_Replicates_INCL'!IU6:IU6,"torque 범위 밖 참고값")</f>
        <v/>
      </c>
      <c r="X22">
        <f>IF(P22=0,"",MIN('A_Replicates_INCL'!EK6:EK6))</f>
        <v/>
      </c>
      <c r="Y22">
        <f>IF(P22=0,"",MAX('A_Replicates_INCL'!EK6:EK6))</f>
        <v/>
      </c>
      <c r="Z22">
        <f>IF(P22=0,"",Y22-X22)</f>
        <v/>
      </c>
    </row>
    <row r="23">
      <c r="B23" t="inlineStr">
        <is>
          <t>A_HYS_AREA_SIGNED</t>
        </is>
      </c>
      <c r="C23" t="inlineStr">
        <is>
          <t>A</t>
        </is>
      </c>
      <c r="D23" t="inlineStr">
        <is>
          <t>T2</t>
        </is>
      </c>
      <c r="E23">
        <f>COUNT('A_Replicates'!EN6:EN6)</f>
        <v/>
      </c>
      <c r="F23" s="19">
        <f>IF(E23=0,"",AVERAGE('A_Replicates'!EN6:EN6))</f>
        <v/>
      </c>
      <c r="G23" s="19">
        <f>IF(E23&lt;2,"",STDEV('A_Replicates'!EN6:EN6))</f>
        <v/>
      </c>
      <c r="H23" s="19">
        <f>IF(E23&lt;2,"","N/A(0 기준)")</f>
        <v/>
      </c>
      <c r="I23" s="19">
        <f>IF(E23=0,"",MIN('A_Replicates'!EN6:EN6))</f>
        <v/>
      </c>
      <c r="J23" s="19">
        <f>IF(E23=0,"",MAX('A_Replicates'!EN6:EN6))</f>
        <v/>
      </c>
      <c r="K23" s="19">
        <f>IF(E23=0,"",J23-I23)</f>
        <v/>
      </c>
      <c r="L23" s="19">
        <f>IF(E23=0,"",SUMPRODUCT(ABS('A_Replicates'!EN6:EN6))/E23)</f>
        <v/>
      </c>
      <c r="M23" s="22">
        <f>IF(E23=0,"",COUNTIF('A_Replicates'!EN6:EN6,"&gt;0"))</f>
        <v/>
      </c>
      <c r="N23" s="22">
        <f>IF(E23=0,"",COUNTIF('A_Replicates'!EN6:EN6,"&lt;0"))</f>
        <v/>
      </c>
      <c r="O23" t="inlineStr">
        <is>
          <t>'A_Replicates'!EN6:EN6</t>
        </is>
      </c>
      <c r="P23" s="22">
        <f>COUNT('A_Replicates_INCL'!EN6:EN6)</f>
        <v/>
      </c>
      <c r="Q23" s="19">
        <f>IF(P23=0,"",AVERAGE('A_Replicates_INCL'!EN6:EN6))</f>
        <v/>
      </c>
      <c r="R23" s="19">
        <f>IF(P23&lt;2,"",STDEV('A_Replicates_INCL'!EN6:EN6))</f>
        <v/>
      </c>
      <c r="S23" s="19">
        <f>IF(OR(P23=0,E23=0),"",Q23-F23)</f>
        <v/>
      </c>
      <c r="T23" s="22">
        <f>COUNT('A_Replicates_EXC'!AJ6:AJ6)</f>
        <v/>
      </c>
      <c r="U23" s="19">
        <f>IF(T23=0,"",AVERAGE('A_Replicates_EXC'!AJ6:AJ6))</f>
        <v/>
      </c>
      <c r="V23" s="22">
        <f>COUNTIF('A_Replicates_INCL'!IV6:IV6,"torque 하한 밖 참고값")+COUNTIF('A_Replicates_INCL'!IV6:IV6,"torque 범위 밖 참고값")</f>
        <v/>
      </c>
      <c r="W23" s="22">
        <f>COUNTIF('A_Replicates_INCL'!IV6:IV6,"torque 상한 밖 참고값")+COUNTIF('A_Replicates_INCL'!IV6:IV6,"torque 범위 밖 참고값")</f>
        <v/>
      </c>
      <c r="X23">
        <f>IF(P23=0,"",MIN('A_Replicates_INCL'!EN6:EN6))</f>
        <v/>
      </c>
      <c r="Y23">
        <f>IF(P23=0,"",MAX('A_Replicates_INCL'!EN6:EN6))</f>
        <v/>
      </c>
      <c r="Z23">
        <f>IF(P23=0,"",Y23-X23)</f>
        <v/>
      </c>
    </row>
    <row r="24">
      <c r="B24" t="inlineStr">
        <is>
          <t>A_HYS_AREA_ABS</t>
        </is>
      </c>
      <c r="C24" t="inlineStr">
        <is>
          <t>A</t>
        </is>
      </c>
      <c r="D24" t="inlineStr">
        <is>
          <t>T2</t>
        </is>
      </c>
      <c r="E24">
        <f>COUNT('A_Replicates'!EQ6:EQ6)</f>
        <v/>
      </c>
      <c r="F24" s="19">
        <f>IF(E24=0,"",AVERAGE('A_Replicates'!EQ6:EQ6))</f>
        <v/>
      </c>
      <c r="G24" s="19">
        <f>IF(E24&lt;2,"",STDEV('A_Replicates'!EQ6:EQ6))</f>
        <v/>
      </c>
      <c r="H24" s="19">
        <f>IF(E24&lt;2,"",IF(G24=0,0,IF(ABS(F24)&lt;G24,"N/A(|Mean|&lt;SD)",G24/ABS(F24)*100)))</f>
        <v/>
      </c>
      <c r="I24" s="19">
        <f>IF(E24=0,"",MIN('A_Replicates'!EQ6:EQ6))</f>
        <v/>
      </c>
      <c r="J24" s="19">
        <f>IF(E24=0,"",MAX('A_Replicates'!EQ6:EQ6))</f>
        <v/>
      </c>
      <c r="K24" s="19">
        <f>IF(E24=0,"",J24-I24)</f>
        <v/>
      </c>
      <c r="L24" s="19">
        <f>IF(E24=0,"",SUMPRODUCT(ABS('A_Replicates'!EQ6:EQ6))/E24)</f>
        <v/>
      </c>
      <c r="M24" s="22">
        <f>IF(E24=0,"",COUNTIF('A_Replicates'!EQ6:EQ6,"&gt;0"))</f>
        <v/>
      </c>
      <c r="N24" s="22">
        <f>IF(E24=0,"",COUNTIF('A_Replicates'!EQ6:EQ6,"&lt;0"))</f>
        <v/>
      </c>
      <c r="O24" t="inlineStr">
        <is>
          <t>'A_Replicates'!EQ6:EQ6</t>
        </is>
      </c>
      <c r="P24" s="22">
        <f>COUNT('A_Replicates_INCL'!EQ6:EQ6)</f>
        <v/>
      </c>
      <c r="Q24" s="19">
        <f>IF(P24=0,"",AVERAGE('A_Replicates_INCL'!EQ6:EQ6))</f>
        <v/>
      </c>
      <c r="R24" s="19">
        <f>IF(P24&lt;2,"",STDEV('A_Replicates_INCL'!EQ6:EQ6))</f>
        <v/>
      </c>
      <c r="S24" s="19">
        <f>IF(OR(P24=0,E24=0),"",Q24-F24)</f>
        <v/>
      </c>
      <c r="T24" s="22">
        <f>COUNT('A_Replicates_EXC'!AK6:AK6)</f>
        <v/>
      </c>
      <c r="U24" s="19">
        <f>IF(T24=0,"",AVERAGE('A_Replicates_EXC'!AK6:AK6))</f>
        <v/>
      </c>
      <c r="V24" s="22">
        <f>COUNTIF('A_Replicates_INCL'!IW6:IW6,"torque 하한 밖 참고값")+COUNTIF('A_Replicates_INCL'!IW6:IW6,"torque 범위 밖 참고값")</f>
        <v/>
      </c>
      <c r="W24" s="22">
        <f>COUNTIF('A_Replicates_INCL'!IW6:IW6,"torque 상한 밖 참고값")+COUNTIF('A_Replicates_INCL'!IW6:IW6,"torque 범위 밖 참고값")</f>
        <v/>
      </c>
      <c r="X24">
        <f>IF(P24=0,"",MIN('A_Replicates_INCL'!EQ6:EQ6))</f>
        <v/>
      </c>
      <c r="Y24">
        <f>IF(P24=0,"",MAX('A_Replicates_INCL'!EQ6:EQ6))</f>
        <v/>
      </c>
      <c r="Z24">
        <f>IF(P24=0,"",Y24-X24)</f>
        <v/>
      </c>
    </row>
    <row r="25">
      <c r="B25" t="inlineStr">
        <is>
          <t>B_ETA_BASE</t>
        </is>
      </c>
      <c r="C25" t="inlineStr">
        <is>
          <t>B</t>
        </is>
      </c>
      <c r="D25" t="inlineStr">
        <is>
          <t>T2</t>
        </is>
      </c>
      <c r="E25" t="n">
        <v>0</v>
      </c>
      <c r="F25" s="21">
        <f>""</f>
        <v/>
      </c>
      <c r="G25" s="21">
        <f>""</f>
        <v/>
      </c>
      <c r="H25" s="19">
        <f>""</f>
        <v/>
      </c>
      <c r="I25" s="21">
        <f>""</f>
        <v/>
      </c>
      <c r="J25" s="21">
        <f>""</f>
        <v/>
      </c>
      <c r="K25" s="21">
        <f>""</f>
        <v/>
      </c>
      <c r="L25" s="21">
        <f>""</f>
        <v/>
      </c>
      <c r="M25" s="22">
        <f>""</f>
        <v/>
      </c>
      <c r="N25" s="22">
        <f>""</f>
        <v/>
      </c>
      <c r="O25" t="inlineStr">
        <is>
          <t>반복 데이터 없음</t>
        </is>
      </c>
      <c r="P25" s="22" t="n">
        <v>0</v>
      </c>
      <c r="Q25" s="21">
        <f>""</f>
        <v/>
      </c>
      <c r="R25" s="21">
        <f>""</f>
        <v/>
      </c>
      <c r="S25" s="21">
        <f>""</f>
        <v/>
      </c>
      <c r="T25" s="22" t="n">
        <v>0</v>
      </c>
      <c r="U25" s="21">
        <f>""</f>
        <v/>
      </c>
      <c r="V25" s="22">
        <f>""</f>
        <v/>
      </c>
      <c r="W25" s="22">
        <f>""</f>
        <v/>
      </c>
    </row>
    <row r="26">
      <c r="B26" t="inlineStr">
        <is>
          <t>B_BRK_DECAY</t>
        </is>
      </c>
      <c r="C26" t="inlineStr">
        <is>
          <t>B</t>
        </is>
      </c>
      <c r="D26" t="inlineStr">
        <is>
          <t>T2</t>
        </is>
      </c>
      <c r="E26" t="n">
        <v>0</v>
      </c>
      <c r="F26" s="19">
        <f>""</f>
        <v/>
      </c>
      <c r="G26" s="19">
        <f>""</f>
        <v/>
      </c>
      <c r="H26" s="19">
        <f>""</f>
        <v/>
      </c>
      <c r="I26" s="19">
        <f>""</f>
        <v/>
      </c>
      <c r="J26" s="19">
        <f>""</f>
        <v/>
      </c>
      <c r="K26" s="19">
        <f>""</f>
        <v/>
      </c>
      <c r="L26" s="19">
        <f>""</f>
        <v/>
      </c>
      <c r="M26" s="22">
        <f>""</f>
        <v/>
      </c>
      <c r="N26" s="22">
        <f>""</f>
        <v/>
      </c>
      <c r="O26" t="inlineStr">
        <is>
          <t>반복 데이터 없음</t>
        </is>
      </c>
      <c r="P26" s="22" t="n">
        <v>0</v>
      </c>
      <c r="Q26" s="19">
        <f>""</f>
        <v/>
      </c>
      <c r="R26" s="19">
        <f>""</f>
        <v/>
      </c>
      <c r="S26" s="19">
        <f>""</f>
        <v/>
      </c>
      <c r="T26" s="22" t="n">
        <v>0</v>
      </c>
      <c r="U26" s="19">
        <f>""</f>
        <v/>
      </c>
      <c r="V26" s="22">
        <f>""</f>
        <v/>
      </c>
      <c r="W26" s="22">
        <f>""</f>
        <v/>
      </c>
    </row>
    <row r="27">
      <c r="B27" t="inlineStr">
        <is>
          <t>B_R60</t>
        </is>
      </c>
      <c r="C27" t="inlineStr">
        <is>
          <t>B</t>
        </is>
      </c>
      <c r="D27" t="inlineStr">
        <is>
          <t>T2</t>
        </is>
      </c>
      <c r="E27" t="n">
        <v>0</v>
      </c>
      <c r="F27" s="19">
        <f>""</f>
        <v/>
      </c>
      <c r="G27" s="19">
        <f>""</f>
        <v/>
      </c>
      <c r="H27" s="19">
        <f>""</f>
        <v/>
      </c>
      <c r="I27" s="19">
        <f>""</f>
        <v/>
      </c>
      <c r="J27" s="19">
        <f>""</f>
        <v/>
      </c>
      <c r="K27" s="19">
        <f>""</f>
        <v/>
      </c>
      <c r="L27" s="19">
        <f>""</f>
        <v/>
      </c>
      <c r="M27" s="22">
        <f>""</f>
        <v/>
      </c>
      <c r="N27" s="22">
        <f>""</f>
        <v/>
      </c>
      <c r="O27" t="inlineStr">
        <is>
          <t>반복 데이터 없음</t>
        </is>
      </c>
      <c r="P27" s="22" t="n">
        <v>0</v>
      </c>
      <c r="Q27" s="19">
        <f>""</f>
        <v/>
      </c>
      <c r="R27" s="19">
        <f>""</f>
        <v/>
      </c>
      <c r="S27" s="19">
        <f>""</f>
        <v/>
      </c>
      <c r="T27" s="22" t="n">
        <v>0</v>
      </c>
      <c r="U27" s="19">
        <f>""</f>
        <v/>
      </c>
      <c r="V27" s="22">
        <f>""</f>
        <v/>
      </c>
      <c r="W27" s="22">
        <f>""</f>
        <v/>
      </c>
    </row>
    <row r="28">
      <c r="B28" t="inlineStr">
        <is>
          <t>B_R300</t>
        </is>
      </c>
      <c r="C28" t="inlineStr">
        <is>
          <t>B</t>
        </is>
      </c>
      <c r="D28" t="inlineStr">
        <is>
          <t>T2</t>
        </is>
      </c>
      <c r="E28" t="n">
        <v>0</v>
      </c>
      <c r="F28" s="19">
        <f>""</f>
        <v/>
      </c>
      <c r="G28" s="19">
        <f>""</f>
        <v/>
      </c>
      <c r="H28" s="19">
        <f>""</f>
        <v/>
      </c>
      <c r="I28" s="19">
        <f>""</f>
        <v/>
      </c>
      <c r="J28" s="19">
        <f>""</f>
        <v/>
      </c>
      <c r="K28" s="19">
        <f>""</f>
        <v/>
      </c>
      <c r="L28" s="19">
        <f>""</f>
        <v/>
      </c>
      <c r="M28" s="22">
        <f>""</f>
        <v/>
      </c>
      <c r="N28" s="22">
        <f>""</f>
        <v/>
      </c>
      <c r="O28" t="inlineStr">
        <is>
          <t>반복 데이터 없음</t>
        </is>
      </c>
      <c r="P28" s="22" t="n">
        <v>0</v>
      </c>
      <c r="Q28" s="19">
        <f>""</f>
        <v/>
      </c>
      <c r="R28" s="19">
        <f>""</f>
        <v/>
      </c>
      <c r="S28" s="19">
        <f>""</f>
        <v/>
      </c>
      <c r="T28" s="22" t="n">
        <v>0</v>
      </c>
      <c r="U28" s="19">
        <f>""</f>
        <v/>
      </c>
      <c r="V28" s="22">
        <f>""</f>
        <v/>
      </c>
      <c r="W28" s="22">
        <f>""</f>
        <v/>
      </c>
    </row>
    <row r="29">
      <c r="B29" t="inlineStr">
        <is>
          <t>B_T90</t>
        </is>
      </c>
      <c r="C29" t="inlineStr">
        <is>
          <t>B</t>
        </is>
      </c>
      <c r="D29" t="inlineStr">
        <is>
          <t>T2</t>
        </is>
      </c>
      <c r="E29" t="n">
        <v>0</v>
      </c>
      <c r="F29" s="24">
        <f>""</f>
        <v/>
      </c>
      <c r="G29" s="24">
        <f>""</f>
        <v/>
      </c>
      <c r="H29" s="19">
        <f>""</f>
        <v/>
      </c>
      <c r="I29" s="24">
        <f>""</f>
        <v/>
      </c>
      <c r="J29" s="24">
        <f>""</f>
        <v/>
      </c>
      <c r="K29" s="24">
        <f>""</f>
        <v/>
      </c>
      <c r="L29" s="24">
        <f>""</f>
        <v/>
      </c>
      <c r="M29" s="22">
        <f>""</f>
        <v/>
      </c>
      <c r="N29" s="22">
        <f>""</f>
        <v/>
      </c>
      <c r="O29" t="inlineStr">
        <is>
          <t>반복 데이터 없음</t>
        </is>
      </c>
      <c r="P29" s="22" t="n">
        <v>0</v>
      </c>
      <c r="Q29" s="24">
        <f>""</f>
        <v/>
      </c>
      <c r="R29" s="24">
        <f>""</f>
        <v/>
      </c>
      <c r="S29" s="24">
        <f>""</f>
        <v/>
      </c>
      <c r="T29" s="22" t="n">
        <v>0</v>
      </c>
      <c r="U29" s="24">
        <f>""</f>
        <v/>
      </c>
      <c r="V29" s="22">
        <f>""</f>
        <v/>
      </c>
      <c r="W29" s="22">
        <f>""</f>
        <v/>
      </c>
    </row>
    <row r="30">
      <c r="B30" t="inlineStr">
        <is>
          <t>A_HB_TAUY_UP</t>
        </is>
      </c>
      <c r="C30" t="inlineStr">
        <is>
          <t>A</t>
        </is>
      </c>
      <c r="D30" t="inlineStr">
        <is>
          <t>T3</t>
        </is>
      </c>
      <c r="E30">
        <f>COUNT('A_Replicates'!CI6:CI6)</f>
        <v/>
      </c>
      <c r="F30" s="19">
        <f>IF(E30=0,"",AVERAGE('A_Replicates'!CI6:CI6))</f>
        <v/>
      </c>
      <c r="G30" s="19">
        <f>IF(E30&lt;2,"",STDEV('A_Replicates'!CI6:CI6))</f>
        <v/>
      </c>
      <c r="H30" s="19">
        <f>IF(E30&lt;2,"",IF(G30=0,0,IF(ABS(F30)&lt;G30,"N/A(|Mean|&lt;SD)",G30/ABS(F30)*100)))</f>
        <v/>
      </c>
      <c r="I30" s="19">
        <f>IF(E30=0,"",MIN('A_Replicates'!CI6:CI6))</f>
        <v/>
      </c>
      <c r="J30" s="19">
        <f>IF(E30=0,"",MAX('A_Replicates'!CI6:CI6))</f>
        <v/>
      </c>
      <c r="K30" s="19">
        <f>IF(E30=0,"",J30-I30)</f>
        <v/>
      </c>
      <c r="L30" s="19">
        <f>IF(E30=0,"",SUMPRODUCT(ABS('A_Replicates'!CI6:CI6))/E30)</f>
        <v/>
      </c>
      <c r="M30" s="22">
        <f>IF(E30=0,"",COUNTIF('A_Replicates'!CI6:CI6,"&gt;0"))</f>
        <v/>
      </c>
      <c r="N30" s="22">
        <f>IF(E30=0,"",COUNTIF('A_Replicates'!CI6:CI6,"&lt;0"))</f>
        <v/>
      </c>
      <c r="O30" t="inlineStr">
        <is>
          <t>'A_Replicates'!CI6:CI6</t>
        </is>
      </c>
      <c r="P30" s="22">
        <f>COUNT('A_Replicates_INCL'!CI6:CI6)</f>
        <v/>
      </c>
      <c r="Q30" s="19">
        <f>IF(P30=0,"",AVERAGE('A_Replicates_INCL'!CI6:CI6))</f>
        <v/>
      </c>
      <c r="R30" s="19">
        <f>IF(P30&lt;2,"",STDEV('A_Replicates_INCL'!CI6:CI6))</f>
        <v/>
      </c>
      <c r="S30" s="19">
        <f>IF(OR(P30=0,E30=0),"",Q30-F30)</f>
        <v/>
      </c>
      <c r="T30" s="22">
        <f>COUNT('A_Replicates_EXC'!Q6:Q6)</f>
        <v/>
      </c>
      <c r="U30" s="19">
        <f>IF(T30=0,"",AVERAGE('A_Replicates_EXC'!Q6:Q6))</f>
        <v/>
      </c>
      <c r="V30" s="22">
        <f>COUNTIF('A_Replicates_INCL'!IC6:IC6,"torque 하한 밖 참고값")+COUNTIF('A_Replicates_INCL'!IC6:IC6,"torque 범위 밖 참고값")</f>
        <v/>
      </c>
      <c r="W30" s="22">
        <f>COUNTIF('A_Replicates_INCL'!IC6:IC6,"torque 상한 밖 참고값")+COUNTIF('A_Replicates_INCL'!IC6:IC6,"torque 범위 밖 참고값")</f>
        <v/>
      </c>
      <c r="X30">
        <f>IF(P30=0,"",MIN('A_Replicates_INCL'!CI6:CI6))</f>
        <v/>
      </c>
      <c r="Y30">
        <f>IF(P30=0,"",MAX('A_Replicates_INCL'!CI6:CI6))</f>
        <v/>
      </c>
      <c r="Z30">
        <f>IF(P30=0,"",Y30-X30)</f>
        <v/>
      </c>
    </row>
    <row r="31">
      <c r="B31" t="inlineStr">
        <is>
          <t>A_HB_K_UP</t>
        </is>
      </c>
      <c r="C31" t="inlineStr">
        <is>
          <t>A</t>
        </is>
      </c>
      <c r="D31" t="inlineStr">
        <is>
          <t>T3</t>
        </is>
      </c>
      <c r="E31">
        <f>COUNT('A_Replicates'!CL6:CL6)</f>
        <v/>
      </c>
      <c r="F31" s="20">
        <f>IF(E31=0,"",AVERAGE('A_Replicates'!CL6:CL6))</f>
        <v/>
      </c>
      <c r="G31" s="20">
        <f>IF(E31&lt;2,"",STDEV('A_Replicates'!CL6:CL6))</f>
        <v/>
      </c>
      <c r="H31" s="19">
        <f>IF(E31&lt;2,"",IF(G31=0,0,IF(ABS(F31)&lt;G31,"N/A(|Mean|&lt;SD)",G31/ABS(F31)*100)))</f>
        <v/>
      </c>
      <c r="I31" s="20">
        <f>IF(E31=0,"",MIN('A_Replicates'!CL6:CL6))</f>
        <v/>
      </c>
      <c r="J31" s="20">
        <f>IF(E31=0,"",MAX('A_Replicates'!CL6:CL6))</f>
        <v/>
      </c>
      <c r="K31" s="20">
        <f>IF(E31=0,"",J31-I31)</f>
        <v/>
      </c>
      <c r="L31" s="20">
        <f>IF(E31=0,"",SUMPRODUCT(ABS('A_Replicates'!CL6:CL6))/E31)</f>
        <v/>
      </c>
      <c r="M31" s="22">
        <f>IF(E31=0,"",COUNTIF('A_Replicates'!CL6:CL6,"&gt;0"))</f>
        <v/>
      </c>
      <c r="N31" s="22">
        <f>IF(E31=0,"",COUNTIF('A_Replicates'!CL6:CL6,"&lt;0"))</f>
        <v/>
      </c>
      <c r="O31" t="inlineStr">
        <is>
          <t>'A_Replicates'!CL6:CL6</t>
        </is>
      </c>
      <c r="P31" s="22">
        <f>COUNT('A_Replicates_INCL'!CL6:CL6)</f>
        <v/>
      </c>
      <c r="Q31" s="20">
        <f>IF(P31=0,"",AVERAGE('A_Replicates_INCL'!CL6:CL6))</f>
        <v/>
      </c>
      <c r="R31" s="20">
        <f>IF(P31&lt;2,"",STDEV('A_Replicates_INCL'!CL6:CL6))</f>
        <v/>
      </c>
      <c r="S31" s="20">
        <f>IF(OR(P31=0,E31=0),"",Q31-F31)</f>
        <v/>
      </c>
      <c r="T31" s="22">
        <f>COUNT('A_Replicates_EXC'!R6:R6)</f>
        <v/>
      </c>
      <c r="U31" s="20">
        <f>IF(T31=0,"",AVERAGE('A_Replicates_EXC'!R6:R6))</f>
        <v/>
      </c>
      <c r="V31" s="22">
        <f>COUNTIF('A_Replicates_INCL'!ID6:ID6,"torque 하한 밖 참고값")+COUNTIF('A_Replicates_INCL'!ID6:ID6,"torque 범위 밖 참고값")</f>
        <v/>
      </c>
      <c r="W31" s="22">
        <f>COUNTIF('A_Replicates_INCL'!ID6:ID6,"torque 상한 밖 참고값")+COUNTIF('A_Replicates_INCL'!ID6:ID6,"torque 범위 밖 참고값")</f>
        <v/>
      </c>
      <c r="X31">
        <f>IF(P31=0,"",MIN('A_Replicates_INCL'!CL6:CL6))</f>
        <v/>
      </c>
      <c r="Y31">
        <f>IF(P31=0,"",MAX('A_Replicates_INCL'!CL6:CL6))</f>
        <v/>
      </c>
      <c r="Z31">
        <f>IF(P31=0,"",Y31-X31)</f>
        <v/>
      </c>
    </row>
    <row r="32">
      <c r="B32" t="inlineStr">
        <is>
          <t>A_HB_N_UP</t>
        </is>
      </c>
      <c r="C32" t="inlineStr">
        <is>
          <t>A</t>
        </is>
      </c>
      <c r="D32" t="inlineStr">
        <is>
          <t>T3</t>
        </is>
      </c>
      <c r="E32">
        <f>COUNT('A_Replicates'!CO6:CO6)</f>
        <v/>
      </c>
      <c r="F32" s="20">
        <f>IF(E32=0,"",AVERAGE('A_Replicates'!CO6:CO6))</f>
        <v/>
      </c>
      <c r="G32" s="20">
        <f>IF(E32&lt;2,"",STDEV('A_Replicates'!CO6:CO6))</f>
        <v/>
      </c>
      <c r="H32" s="19">
        <f>IF(E32&lt;2,"",IF(G32=0,0,IF(ABS(F32)&lt;G32,"N/A(|Mean|&lt;SD)",G32/ABS(F32)*100)))</f>
        <v/>
      </c>
      <c r="I32" s="20">
        <f>IF(E32=0,"",MIN('A_Replicates'!CO6:CO6))</f>
        <v/>
      </c>
      <c r="J32" s="20">
        <f>IF(E32=0,"",MAX('A_Replicates'!CO6:CO6))</f>
        <v/>
      </c>
      <c r="K32" s="20">
        <f>IF(E32=0,"",J32-I32)</f>
        <v/>
      </c>
      <c r="L32" s="20">
        <f>IF(E32=0,"",SUMPRODUCT(ABS('A_Replicates'!CO6:CO6))/E32)</f>
        <v/>
      </c>
      <c r="M32" s="22">
        <f>IF(E32=0,"",COUNTIF('A_Replicates'!CO6:CO6,"&gt;0"))</f>
        <v/>
      </c>
      <c r="N32" s="22">
        <f>IF(E32=0,"",COUNTIF('A_Replicates'!CO6:CO6,"&lt;0"))</f>
        <v/>
      </c>
      <c r="O32" t="inlineStr">
        <is>
          <t>'A_Replicates'!CO6:CO6</t>
        </is>
      </c>
      <c r="P32" s="22">
        <f>COUNT('A_Replicates_INCL'!CO6:CO6)</f>
        <v/>
      </c>
      <c r="Q32" s="20">
        <f>IF(P32=0,"",AVERAGE('A_Replicates_INCL'!CO6:CO6))</f>
        <v/>
      </c>
      <c r="R32" s="20">
        <f>IF(P32&lt;2,"",STDEV('A_Replicates_INCL'!CO6:CO6))</f>
        <v/>
      </c>
      <c r="S32" s="20">
        <f>IF(OR(P32=0,E32=0),"",Q32-F32)</f>
        <v/>
      </c>
      <c r="T32" s="22">
        <f>COUNT('A_Replicates_EXC'!S6:S6)</f>
        <v/>
      </c>
      <c r="U32" s="20">
        <f>IF(T32=0,"",AVERAGE('A_Replicates_EXC'!S6:S6))</f>
        <v/>
      </c>
      <c r="V32" s="22">
        <f>COUNTIF('A_Replicates_INCL'!IE6:IE6,"torque 하한 밖 참고값")+COUNTIF('A_Replicates_INCL'!IE6:IE6,"torque 범위 밖 참고값")</f>
        <v/>
      </c>
      <c r="W32" s="22">
        <f>COUNTIF('A_Replicates_INCL'!IE6:IE6,"torque 상한 밖 참고값")+COUNTIF('A_Replicates_INCL'!IE6:IE6,"torque 범위 밖 참고값")</f>
        <v/>
      </c>
      <c r="X32">
        <f>IF(P32=0,"",MIN('A_Replicates_INCL'!CO6:CO6))</f>
        <v/>
      </c>
      <c r="Y32">
        <f>IF(P32=0,"",MAX('A_Replicates_INCL'!CO6:CO6))</f>
        <v/>
      </c>
      <c r="Z32">
        <f>IF(P32=0,"",Y32-X32)</f>
        <v/>
      </c>
    </row>
    <row r="33">
      <c r="B33" t="inlineStr">
        <is>
          <t>A_HB_R2_UP</t>
        </is>
      </c>
      <c r="C33" t="inlineStr">
        <is>
          <t>A</t>
        </is>
      </c>
      <c r="D33" t="inlineStr">
        <is>
          <t>T3</t>
        </is>
      </c>
      <c r="E33">
        <f>COUNT('A_Replicates'!CR6:CR6)</f>
        <v/>
      </c>
      <c r="F33" s="20">
        <f>IF(E33=0,"",AVERAGE('A_Replicates'!CR6:CR6))</f>
        <v/>
      </c>
      <c r="G33" s="20">
        <f>IF(E33&lt;2,"",STDEV('A_Replicates'!CR6:CR6))</f>
        <v/>
      </c>
      <c r="H33" s="19">
        <f>IF(E33&lt;2,"",IF(G33=0,0,IF(ABS(F33)&lt;G33,"N/A(|Mean|&lt;SD)",G33/ABS(F33)*100)))</f>
        <v/>
      </c>
      <c r="I33" s="20">
        <f>IF(E33=0,"",MIN('A_Replicates'!CR6:CR6))</f>
        <v/>
      </c>
      <c r="J33" s="20">
        <f>IF(E33=0,"",MAX('A_Replicates'!CR6:CR6))</f>
        <v/>
      </c>
      <c r="K33" s="20">
        <f>IF(E33=0,"",J33-I33)</f>
        <v/>
      </c>
      <c r="L33" s="20">
        <f>IF(E33=0,"",SUMPRODUCT(ABS('A_Replicates'!CR6:CR6))/E33)</f>
        <v/>
      </c>
      <c r="M33" s="22">
        <f>IF(E33=0,"",COUNTIF('A_Replicates'!CR6:CR6,"&gt;0"))</f>
        <v/>
      </c>
      <c r="N33" s="22">
        <f>IF(E33=0,"",COUNTIF('A_Replicates'!CR6:CR6,"&lt;0"))</f>
        <v/>
      </c>
      <c r="O33" t="inlineStr">
        <is>
          <t>'A_Replicates'!CR6:CR6</t>
        </is>
      </c>
      <c r="P33" s="22">
        <f>COUNT('A_Replicates_INCL'!CR6:CR6)</f>
        <v/>
      </c>
      <c r="Q33" s="20">
        <f>IF(P33=0,"",AVERAGE('A_Replicates_INCL'!CR6:CR6))</f>
        <v/>
      </c>
      <c r="R33" s="20">
        <f>IF(P33&lt;2,"",STDEV('A_Replicates_INCL'!CR6:CR6))</f>
        <v/>
      </c>
      <c r="S33" s="20">
        <f>IF(OR(P33=0,E33=0),"",Q33-F33)</f>
        <v/>
      </c>
      <c r="T33" s="22">
        <f>COUNT('A_Replicates_EXC'!T6:T6)</f>
        <v/>
      </c>
      <c r="U33" s="20">
        <f>IF(T33=0,"",AVERAGE('A_Replicates_EXC'!T6:T6))</f>
        <v/>
      </c>
      <c r="V33" s="22">
        <f>COUNTIF('A_Replicates_INCL'!IF6:IF6,"torque 하한 밖 참고값")+COUNTIF('A_Replicates_INCL'!IF6:IF6,"torque 범위 밖 참고값")</f>
        <v/>
      </c>
      <c r="W33" s="22">
        <f>COUNTIF('A_Replicates_INCL'!IF6:IF6,"torque 상한 밖 참고값")+COUNTIF('A_Replicates_INCL'!IF6:IF6,"torque 범위 밖 참고값")</f>
        <v/>
      </c>
      <c r="X33">
        <f>IF(P33=0,"",MIN('A_Replicates_INCL'!CR6:CR6))</f>
        <v/>
      </c>
      <c r="Y33">
        <f>IF(P33=0,"",MAX('A_Replicates_INCL'!CR6:CR6))</f>
        <v/>
      </c>
      <c r="Z33">
        <f>IF(P33=0,"",Y33-X33)</f>
        <v/>
      </c>
    </row>
    <row r="34">
      <c r="B34" t="inlineStr">
        <is>
          <t>A_HB_R2_DN</t>
        </is>
      </c>
      <c r="C34" t="inlineStr">
        <is>
          <t>A</t>
        </is>
      </c>
      <c r="D34" t="inlineStr">
        <is>
          <t>T3</t>
        </is>
      </c>
      <c r="E34">
        <f>COUNT('A_Replicates'!CU6:CU6)</f>
        <v/>
      </c>
      <c r="F34" s="20">
        <f>IF(E34=0,"",AVERAGE('A_Replicates'!CU6:CU6))</f>
        <v/>
      </c>
      <c r="G34" s="20">
        <f>IF(E34&lt;2,"",STDEV('A_Replicates'!CU6:CU6))</f>
        <v/>
      </c>
      <c r="H34" s="19">
        <f>IF(E34&lt;2,"",IF(G34=0,0,IF(ABS(F34)&lt;G34,"N/A(|Mean|&lt;SD)",G34/ABS(F34)*100)))</f>
        <v/>
      </c>
      <c r="I34" s="20">
        <f>IF(E34=0,"",MIN('A_Replicates'!CU6:CU6))</f>
        <v/>
      </c>
      <c r="J34" s="20">
        <f>IF(E34=0,"",MAX('A_Replicates'!CU6:CU6))</f>
        <v/>
      </c>
      <c r="K34" s="20">
        <f>IF(E34=0,"",J34-I34)</f>
        <v/>
      </c>
      <c r="L34" s="20">
        <f>IF(E34=0,"",SUMPRODUCT(ABS('A_Replicates'!CU6:CU6))/E34)</f>
        <v/>
      </c>
      <c r="M34" s="22">
        <f>IF(E34=0,"",COUNTIF('A_Replicates'!CU6:CU6,"&gt;0"))</f>
        <v/>
      </c>
      <c r="N34" s="22">
        <f>IF(E34=0,"",COUNTIF('A_Replicates'!CU6:CU6,"&lt;0"))</f>
        <v/>
      </c>
      <c r="O34" t="inlineStr">
        <is>
          <t>'A_Replicates'!CU6:CU6</t>
        </is>
      </c>
      <c r="P34" s="22">
        <f>COUNT('A_Replicates_INCL'!CU6:CU6)</f>
        <v/>
      </c>
      <c r="Q34" s="20">
        <f>IF(P34=0,"",AVERAGE('A_Replicates_INCL'!CU6:CU6))</f>
        <v/>
      </c>
      <c r="R34" s="20">
        <f>IF(P34&lt;2,"",STDEV('A_Replicates_INCL'!CU6:CU6))</f>
        <v/>
      </c>
      <c r="S34" s="20">
        <f>IF(OR(P34=0,E34=0),"",Q34-F34)</f>
        <v/>
      </c>
      <c r="T34" s="22">
        <f>COUNT('A_Replicates_EXC'!U6:U6)</f>
        <v/>
      </c>
      <c r="U34" s="20">
        <f>IF(T34=0,"",AVERAGE('A_Replicates_EXC'!U6:U6))</f>
        <v/>
      </c>
      <c r="V34" s="22">
        <f>COUNTIF('A_Replicates_INCL'!IG6:IG6,"torque 하한 밖 참고값")+COUNTIF('A_Replicates_INCL'!IG6:IG6,"torque 범위 밖 참고값")</f>
        <v/>
      </c>
      <c r="W34" s="22">
        <f>COUNTIF('A_Replicates_INCL'!IG6:IG6,"torque 상한 밖 참고값")+COUNTIF('A_Replicates_INCL'!IG6:IG6,"torque 범위 밖 참고값")</f>
        <v/>
      </c>
      <c r="X34">
        <f>IF(P34=0,"",MIN('A_Replicates_INCL'!CU6:CU6))</f>
        <v/>
      </c>
      <c r="Y34">
        <f>IF(P34=0,"",MAX('A_Replicates_INCL'!CU6:CU6))</f>
        <v/>
      </c>
      <c r="Z34">
        <f>IF(P34=0,"",Y34-X34)</f>
        <v/>
      </c>
    </row>
    <row r="35">
      <c r="B35" t="inlineStr">
        <is>
          <t>A_HB_TAUY_DN</t>
        </is>
      </c>
      <c r="C35" t="inlineStr">
        <is>
          <t>A</t>
        </is>
      </c>
      <c r="D35" t="inlineStr">
        <is>
          <t>T3</t>
        </is>
      </c>
      <c r="E35">
        <f>COUNT('A_Replicates'!CX6:CX6)</f>
        <v/>
      </c>
      <c r="F35" s="19">
        <f>IF(E35=0,"",AVERAGE('A_Replicates'!CX6:CX6))</f>
        <v/>
      </c>
      <c r="G35" s="19">
        <f>IF(E35&lt;2,"",STDEV('A_Replicates'!CX6:CX6))</f>
        <v/>
      </c>
      <c r="H35" s="19">
        <f>IF(E35&lt;2,"",IF(G35=0,0,IF(ABS(F35)&lt;G35,"N/A(|Mean|&lt;SD)",G35/ABS(F35)*100)))</f>
        <v/>
      </c>
      <c r="I35" s="19">
        <f>IF(E35=0,"",MIN('A_Replicates'!CX6:CX6))</f>
        <v/>
      </c>
      <c r="J35" s="19">
        <f>IF(E35=0,"",MAX('A_Replicates'!CX6:CX6))</f>
        <v/>
      </c>
      <c r="K35" s="19">
        <f>IF(E35=0,"",J35-I35)</f>
        <v/>
      </c>
      <c r="L35" s="19">
        <f>IF(E35=0,"",SUMPRODUCT(ABS('A_Replicates'!CX6:CX6))/E35)</f>
        <v/>
      </c>
      <c r="M35" s="22">
        <f>IF(E35=0,"",COUNTIF('A_Replicates'!CX6:CX6,"&gt;0"))</f>
        <v/>
      </c>
      <c r="N35" s="22">
        <f>IF(E35=0,"",COUNTIF('A_Replicates'!CX6:CX6,"&lt;0"))</f>
        <v/>
      </c>
      <c r="O35" t="inlineStr">
        <is>
          <t>'A_Replicates'!CX6:CX6</t>
        </is>
      </c>
      <c r="P35" s="22">
        <f>COUNT('A_Replicates_INCL'!CX6:CX6)</f>
        <v/>
      </c>
      <c r="Q35" s="19">
        <f>IF(P35=0,"",AVERAGE('A_Replicates_INCL'!CX6:CX6))</f>
        <v/>
      </c>
      <c r="R35" s="19">
        <f>IF(P35&lt;2,"",STDEV('A_Replicates_INCL'!CX6:CX6))</f>
        <v/>
      </c>
      <c r="S35" s="19">
        <f>IF(OR(P35=0,E35=0),"",Q35-F35)</f>
        <v/>
      </c>
      <c r="T35" s="22">
        <f>COUNT('A_Replicates_EXC'!V6:V6)</f>
        <v/>
      </c>
      <c r="U35" s="19">
        <f>IF(T35=0,"",AVERAGE('A_Replicates_EXC'!V6:V6))</f>
        <v/>
      </c>
      <c r="V35" s="22">
        <f>COUNTIF('A_Replicates_INCL'!IH6:IH6,"torque 하한 밖 참고값")+COUNTIF('A_Replicates_INCL'!IH6:IH6,"torque 범위 밖 참고값")</f>
        <v/>
      </c>
      <c r="W35" s="22">
        <f>COUNTIF('A_Replicates_INCL'!IH6:IH6,"torque 상한 밖 참고값")+COUNTIF('A_Replicates_INCL'!IH6:IH6,"torque 범위 밖 참고값")</f>
        <v/>
      </c>
      <c r="X35">
        <f>IF(P35=0,"",MIN('A_Replicates_INCL'!CX6:CX6))</f>
        <v/>
      </c>
      <c r="Y35">
        <f>IF(P35=0,"",MAX('A_Replicates_INCL'!CX6:CX6))</f>
        <v/>
      </c>
      <c r="Z35">
        <f>IF(P35=0,"",Y35-X35)</f>
        <v/>
      </c>
    </row>
    <row r="36">
      <c r="B36" t="inlineStr">
        <is>
          <t>A_HB_K_DN</t>
        </is>
      </c>
      <c r="C36" t="inlineStr">
        <is>
          <t>A</t>
        </is>
      </c>
      <c r="D36" t="inlineStr">
        <is>
          <t>T3</t>
        </is>
      </c>
      <c r="E36">
        <f>COUNT('A_Replicates'!DA6:DA6)</f>
        <v/>
      </c>
      <c r="F36" s="20">
        <f>IF(E36=0,"",AVERAGE('A_Replicates'!DA6:DA6))</f>
        <v/>
      </c>
      <c r="G36" s="20">
        <f>IF(E36&lt;2,"",STDEV('A_Replicates'!DA6:DA6))</f>
        <v/>
      </c>
      <c r="H36" s="19">
        <f>IF(E36&lt;2,"",IF(G36=0,0,IF(ABS(F36)&lt;G36,"N/A(|Mean|&lt;SD)",G36/ABS(F36)*100)))</f>
        <v/>
      </c>
      <c r="I36" s="20">
        <f>IF(E36=0,"",MIN('A_Replicates'!DA6:DA6))</f>
        <v/>
      </c>
      <c r="J36" s="20">
        <f>IF(E36=0,"",MAX('A_Replicates'!DA6:DA6))</f>
        <v/>
      </c>
      <c r="K36" s="20">
        <f>IF(E36=0,"",J36-I36)</f>
        <v/>
      </c>
      <c r="L36" s="20">
        <f>IF(E36=0,"",SUMPRODUCT(ABS('A_Replicates'!DA6:DA6))/E36)</f>
        <v/>
      </c>
      <c r="M36" s="22">
        <f>IF(E36=0,"",COUNTIF('A_Replicates'!DA6:DA6,"&gt;0"))</f>
        <v/>
      </c>
      <c r="N36" s="22">
        <f>IF(E36=0,"",COUNTIF('A_Replicates'!DA6:DA6,"&lt;0"))</f>
        <v/>
      </c>
      <c r="O36" t="inlineStr">
        <is>
          <t>'A_Replicates'!DA6:DA6</t>
        </is>
      </c>
      <c r="P36" s="22">
        <f>COUNT('A_Replicates_INCL'!DA6:DA6)</f>
        <v/>
      </c>
      <c r="Q36" s="20">
        <f>IF(P36=0,"",AVERAGE('A_Replicates_INCL'!DA6:DA6))</f>
        <v/>
      </c>
      <c r="R36" s="20">
        <f>IF(P36&lt;2,"",STDEV('A_Replicates_INCL'!DA6:DA6))</f>
        <v/>
      </c>
      <c r="S36" s="20">
        <f>IF(OR(P36=0,E36=0),"",Q36-F36)</f>
        <v/>
      </c>
      <c r="T36" s="22">
        <f>COUNT('A_Replicates_EXC'!W6:W6)</f>
        <v/>
      </c>
      <c r="U36" s="20">
        <f>IF(T36=0,"",AVERAGE('A_Replicates_EXC'!W6:W6))</f>
        <v/>
      </c>
      <c r="V36" s="22">
        <f>COUNTIF('A_Replicates_INCL'!II6:II6,"torque 하한 밖 참고값")+COUNTIF('A_Replicates_INCL'!II6:II6,"torque 범위 밖 참고값")</f>
        <v/>
      </c>
      <c r="W36" s="22">
        <f>COUNTIF('A_Replicates_INCL'!II6:II6,"torque 상한 밖 참고값")+COUNTIF('A_Replicates_INCL'!II6:II6,"torque 범위 밖 참고값")</f>
        <v/>
      </c>
      <c r="X36">
        <f>IF(P36=0,"",MIN('A_Replicates_INCL'!DA6:DA6))</f>
        <v/>
      </c>
      <c r="Y36">
        <f>IF(P36=0,"",MAX('A_Replicates_INCL'!DA6:DA6))</f>
        <v/>
      </c>
      <c r="Z36">
        <f>IF(P36=0,"",Y36-X36)</f>
        <v/>
      </c>
    </row>
    <row r="37">
      <c r="B37" t="inlineStr">
        <is>
          <t>A_HB_N_DN</t>
        </is>
      </c>
      <c r="C37" t="inlineStr">
        <is>
          <t>A</t>
        </is>
      </c>
      <c r="D37" t="inlineStr">
        <is>
          <t>T3</t>
        </is>
      </c>
      <c r="E37">
        <f>COUNT('A_Replicates'!DD6:DD6)</f>
        <v/>
      </c>
      <c r="F37" s="20">
        <f>IF(E37=0,"",AVERAGE('A_Replicates'!DD6:DD6))</f>
        <v/>
      </c>
      <c r="G37" s="20">
        <f>IF(E37&lt;2,"",STDEV('A_Replicates'!DD6:DD6))</f>
        <v/>
      </c>
      <c r="H37" s="19">
        <f>IF(E37&lt;2,"",IF(G37=0,0,IF(ABS(F37)&lt;G37,"N/A(|Mean|&lt;SD)",G37/ABS(F37)*100)))</f>
        <v/>
      </c>
      <c r="I37" s="20">
        <f>IF(E37=0,"",MIN('A_Replicates'!DD6:DD6))</f>
        <v/>
      </c>
      <c r="J37" s="20">
        <f>IF(E37=0,"",MAX('A_Replicates'!DD6:DD6))</f>
        <v/>
      </c>
      <c r="K37" s="20">
        <f>IF(E37=0,"",J37-I37)</f>
        <v/>
      </c>
      <c r="L37" s="20">
        <f>IF(E37=0,"",SUMPRODUCT(ABS('A_Replicates'!DD6:DD6))/E37)</f>
        <v/>
      </c>
      <c r="M37" s="22">
        <f>IF(E37=0,"",COUNTIF('A_Replicates'!DD6:DD6,"&gt;0"))</f>
        <v/>
      </c>
      <c r="N37" s="22">
        <f>IF(E37=0,"",COUNTIF('A_Replicates'!DD6:DD6,"&lt;0"))</f>
        <v/>
      </c>
      <c r="O37" t="inlineStr">
        <is>
          <t>'A_Replicates'!DD6:DD6</t>
        </is>
      </c>
      <c r="P37" s="22">
        <f>COUNT('A_Replicates_INCL'!DD6:DD6)</f>
        <v/>
      </c>
      <c r="Q37" s="20">
        <f>IF(P37=0,"",AVERAGE('A_Replicates_INCL'!DD6:DD6))</f>
        <v/>
      </c>
      <c r="R37" s="20">
        <f>IF(P37&lt;2,"",STDEV('A_Replicates_INCL'!DD6:DD6))</f>
        <v/>
      </c>
      <c r="S37" s="20">
        <f>IF(OR(P37=0,E37=0),"",Q37-F37)</f>
        <v/>
      </c>
      <c r="T37" s="22">
        <f>COUNT('A_Replicates_EXC'!X6:X6)</f>
        <v/>
      </c>
      <c r="U37" s="20">
        <f>IF(T37=0,"",AVERAGE('A_Replicates_EXC'!X6:X6))</f>
        <v/>
      </c>
      <c r="V37" s="22">
        <f>COUNTIF('A_Replicates_INCL'!IJ6:IJ6,"torque 하한 밖 참고값")+COUNTIF('A_Replicates_INCL'!IJ6:IJ6,"torque 범위 밖 참고값")</f>
        <v/>
      </c>
      <c r="W37" s="22">
        <f>COUNTIF('A_Replicates_INCL'!IJ6:IJ6,"torque 상한 밖 참고값")+COUNTIF('A_Replicates_INCL'!IJ6:IJ6,"torque 범위 밖 참고값")</f>
        <v/>
      </c>
      <c r="X37">
        <f>IF(P37=0,"",MIN('A_Replicates_INCL'!DD6:DD6))</f>
        <v/>
      </c>
      <c r="Y37">
        <f>IF(P37=0,"",MAX('A_Replicates_INCL'!DD6:DD6))</f>
        <v/>
      </c>
      <c r="Z37">
        <f>IF(P37=0,"",Y37-X37)</f>
        <v/>
      </c>
    </row>
    <row r="38">
      <c r="B38" t="inlineStr">
        <is>
          <t>A_HB_TAUY_RATIO</t>
        </is>
      </c>
      <c r="C38" t="inlineStr">
        <is>
          <t>A</t>
        </is>
      </c>
      <c r="D38" t="inlineStr">
        <is>
          <t>T3</t>
        </is>
      </c>
      <c r="E38">
        <f>COUNT('A_Replicates'!DG6:DG6)</f>
        <v/>
      </c>
      <c r="F38" s="19">
        <f>IF(E38=0,"",AVERAGE('A_Replicates'!DG6:DG6))</f>
        <v/>
      </c>
      <c r="G38" s="19">
        <f>IF(E38&lt;2,"",STDEV('A_Replicates'!DG6:DG6))</f>
        <v/>
      </c>
      <c r="H38" s="19">
        <f>IF(E38&lt;2,"",IF(G38=0,0,IF(ABS(F38)&lt;G38,"N/A(|Mean|&lt;SD)",G38/ABS(F38)*100)))</f>
        <v/>
      </c>
      <c r="I38" s="19">
        <f>IF(E38=0,"",MIN('A_Replicates'!DG6:DG6))</f>
        <v/>
      </c>
      <c r="J38" s="19">
        <f>IF(E38=0,"",MAX('A_Replicates'!DG6:DG6))</f>
        <v/>
      </c>
      <c r="K38" s="19">
        <f>IF(E38=0,"",J38-I38)</f>
        <v/>
      </c>
      <c r="L38" s="19">
        <f>IF(E38=0,"",SUMPRODUCT(ABS('A_Replicates'!DG6:DG6))/E38)</f>
        <v/>
      </c>
      <c r="M38" s="22">
        <f>IF(E38=0,"",COUNTIF('A_Replicates'!DG6:DG6,"&gt;0"))</f>
        <v/>
      </c>
      <c r="N38" s="22">
        <f>IF(E38=0,"",COUNTIF('A_Replicates'!DG6:DG6,"&lt;0"))</f>
        <v/>
      </c>
      <c r="O38" t="inlineStr">
        <is>
          <t>'A_Replicates'!DG6:DG6</t>
        </is>
      </c>
      <c r="P38" s="22">
        <f>COUNT('A_Replicates_INCL'!DG6:DG6)</f>
        <v/>
      </c>
      <c r="Q38" s="19">
        <f>IF(P38=0,"",AVERAGE('A_Replicates_INCL'!DG6:DG6))</f>
        <v/>
      </c>
      <c r="R38" s="19">
        <f>IF(P38&lt;2,"",STDEV('A_Replicates_INCL'!DG6:DG6))</f>
        <v/>
      </c>
      <c r="S38" s="19">
        <f>IF(OR(P38=0,E38=0),"",Q38-F38)</f>
        <v/>
      </c>
      <c r="T38" s="22">
        <f>COUNT('A_Replicates_EXC'!Y6:Y6)</f>
        <v/>
      </c>
      <c r="U38" s="19">
        <f>IF(T38=0,"",AVERAGE('A_Replicates_EXC'!Y6:Y6))</f>
        <v/>
      </c>
      <c r="V38" s="22">
        <f>COUNTIF('A_Replicates_INCL'!IK6:IK6,"torque 하한 밖 참고값")+COUNTIF('A_Replicates_INCL'!IK6:IK6,"torque 범위 밖 참고값")</f>
        <v/>
      </c>
      <c r="W38" s="22">
        <f>COUNTIF('A_Replicates_INCL'!IK6:IK6,"torque 상한 밖 참고값")+COUNTIF('A_Replicates_INCL'!IK6:IK6,"torque 범위 밖 참고값")</f>
        <v/>
      </c>
      <c r="X38">
        <f>IF(P38=0,"",MIN('A_Replicates_INCL'!DG6:DG6))</f>
        <v/>
      </c>
      <c r="Y38">
        <f>IF(P38=0,"",MAX('A_Replicates_INCL'!DG6:DG6))</f>
        <v/>
      </c>
      <c r="Z38">
        <f>IF(P38=0,"",Y38-X38)</f>
        <v/>
      </c>
    </row>
    <row r="39">
      <c r="B39" t="inlineStr">
        <is>
          <t>A_HDI</t>
        </is>
      </c>
      <c r="C39" t="inlineStr">
        <is>
          <t>A</t>
        </is>
      </c>
      <c r="D39" t="inlineStr">
        <is>
          <t>T3</t>
        </is>
      </c>
      <c r="E39">
        <f>COUNT('A_Replicates'!DJ6:DJ6)</f>
        <v/>
      </c>
      <c r="F39" s="19">
        <f>IF(E39=0,"",AVERAGE('A_Replicates'!DJ6:DJ6))</f>
        <v/>
      </c>
      <c r="G39" s="19">
        <f>IF(E39&lt;2,"",STDEV('A_Replicates'!DJ6:DJ6))</f>
        <v/>
      </c>
      <c r="H39" s="19">
        <f>IF(E39&lt;2,"",IF(G39=0,0,IF(ABS(F39)&lt;G39,"N/A(|Mean|&lt;SD)",G39/ABS(F39)*100)))</f>
        <v/>
      </c>
      <c r="I39" s="19">
        <f>IF(E39=0,"",MIN('A_Replicates'!DJ6:DJ6))</f>
        <v/>
      </c>
      <c r="J39" s="19">
        <f>IF(E39=0,"",MAX('A_Replicates'!DJ6:DJ6))</f>
        <v/>
      </c>
      <c r="K39" s="19">
        <f>IF(E39=0,"",J39-I39)</f>
        <v/>
      </c>
      <c r="L39" s="19">
        <f>IF(E39=0,"",SUMPRODUCT(ABS('A_Replicates'!DJ6:DJ6))/E39)</f>
        <v/>
      </c>
      <c r="M39" s="22">
        <f>IF(E39=0,"",COUNTIF('A_Replicates'!DJ6:DJ6,"&gt;0"))</f>
        <v/>
      </c>
      <c r="N39" s="22">
        <f>IF(E39=0,"",COUNTIF('A_Replicates'!DJ6:DJ6,"&lt;0"))</f>
        <v/>
      </c>
      <c r="O39" t="inlineStr">
        <is>
          <t>'A_Replicates'!DJ6:DJ6</t>
        </is>
      </c>
      <c r="P39" s="22">
        <f>COUNT('A_Replicates_INCL'!DJ6:DJ6)</f>
        <v/>
      </c>
      <c r="Q39" s="19">
        <f>IF(P39=0,"",AVERAGE('A_Replicates_INCL'!DJ6:DJ6))</f>
        <v/>
      </c>
      <c r="R39" s="19">
        <f>IF(P39&lt;2,"",STDEV('A_Replicates_INCL'!DJ6:DJ6))</f>
        <v/>
      </c>
      <c r="S39" s="19">
        <f>IF(OR(P39=0,E39=0),"",Q39-F39)</f>
        <v/>
      </c>
      <c r="T39" s="22">
        <f>COUNT('A_Replicates_EXC'!Z6:Z6)</f>
        <v/>
      </c>
      <c r="U39" s="19">
        <f>IF(T39=0,"",AVERAGE('A_Replicates_EXC'!Z6:Z6))</f>
        <v/>
      </c>
      <c r="V39" s="22">
        <f>COUNTIF('A_Replicates_INCL'!IL6:IL6,"torque 하한 밖 참고값")+COUNTIF('A_Replicates_INCL'!IL6:IL6,"torque 범위 밖 참고값")</f>
        <v/>
      </c>
      <c r="W39" s="22">
        <f>COUNTIF('A_Replicates_INCL'!IL6:IL6,"torque 상한 밖 참고값")+COUNTIF('A_Replicates_INCL'!IL6:IL6,"torque 범위 밖 참고값")</f>
        <v/>
      </c>
      <c r="X39">
        <f>IF(P39=0,"",MIN('A_Replicates_INCL'!DJ6:DJ6))</f>
        <v/>
      </c>
      <c r="Y39">
        <f>IF(P39=0,"",MAX('A_Replicates_INCL'!DJ6:DJ6))</f>
        <v/>
      </c>
      <c r="Z39">
        <f>IF(P39=0,"",Y39-X39)</f>
        <v/>
      </c>
    </row>
    <row r="40">
      <c r="B40" t="inlineStr">
        <is>
          <t>A_OVS_L</t>
        </is>
      </c>
      <c r="C40" t="inlineStr">
        <is>
          <t>A</t>
        </is>
      </c>
      <c r="D40" t="inlineStr">
        <is>
          <t>T3</t>
        </is>
      </c>
      <c r="E40">
        <f>COUNT('A_Replicates'!DM6:DM6)</f>
        <v/>
      </c>
      <c r="F40" s="19">
        <f>IF(E40=0,"",AVERAGE('A_Replicates'!DM6:DM6))</f>
        <v/>
      </c>
      <c r="G40" s="19">
        <f>IF(E40&lt;2,"",STDEV('A_Replicates'!DM6:DM6))</f>
        <v/>
      </c>
      <c r="H40" s="19">
        <f>IF(E40&lt;2,"","N/A(0 기준)")</f>
        <v/>
      </c>
      <c r="I40" s="19">
        <f>IF(E40=0,"",MIN('A_Replicates'!DM6:DM6))</f>
        <v/>
      </c>
      <c r="J40" s="19">
        <f>IF(E40=0,"",MAX('A_Replicates'!DM6:DM6))</f>
        <v/>
      </c>
      <c r="K40" s="19">
        <f>IF(E40=0,"",J40-I40)</f>
        <v/>
      </c>
      <c r="L40" s="19">
        <f>IF(E40=0,"",SUMPRODUCT(ABS('A_Replicates'!DM6:DM6))/E40)</f>
        <v/>
      </c>
      <c r="M40" s="22">
        <f>IF(E40=0,"",COUNTIF('A_Replicates'!DM6:DM6,"&gt;0"))</f>
        <v/>
      </c>
      <c r="N40" s="22">
        <f>IF(E40=0,"",COUNTIF('A_Replicates'!DM6:DM6,"&lt;0"))</f>
        <v/>
      </c>
      <c r="O40" t="inlineStr">
        <is>
          <t>'A_Replicates'!DM6:DM6</t>
        </is>
      </c>
      <c r="P40" s="22">
        <f>COUNT('A_Replicates_INCL'!DM6:DM6)</f>
        <v/>
      </c>
      <c r="Q40" s="19">
        <f>IF(P40=0,"",AVERAGE('A_Replicates_INCL'!DM6:DM6))</f>
        <v/>
      </c>
      <c r="R40" s="19">
        <f>IF(P40&lt;2,"",STDEV('A_Replicates_INCL'!DM6:DM6))</f>
        <v/>
      </c>
      <c r="S40" s="19">
        <f>IF(OR(P40=0,E40=0),"",Q40-F40)</f>
        <v/>
      </c>
      <c r="T40" s="22">
        <f>COUNT('A_Replicates_EXC'!AA6:AA6)</f>
        <v/>
      </c>
      <c r="U40" s="19">
        <f>IF(T40=0,"",AVERAGE('A_Replicates_EXC'!AA6:AA6))</f>
        <v/>
      </c>
      <c r="V40" s="22">
        <f>COUNTIF('A_Replicates_INCL'!IM6:IM6,"torque 하한 밖 참고값")+COUNTIF('A_Replicates_INCL'!IM6:IM6,"torque 범위 밖 참고값")</f>
        <v/>
      </c>
      <c r="W40" s="22">
        <f>COUNTIF('A_Replicates_INCL'!IM6:IM6,"torque 상한 밖 참고값")+COUNTIF('A_Replicates_INCL'!IM6:IM6,"torque 범위 밖 참고값")</f>
        <v/>
      </c>
      <c r="X40">
        <f>IF(P40=0,"",MIN('A_Replicates_INCL'!DM6:DM6))</f>
        <v/>
      </c>
      <c r="Y40">
        <f>IF(P40=0,"",MAX('A_Replicates_INCL'!DM6:DM6))</f>
        <v/>
      </c>
      <c r="Z40">
        <f>IF(P40=0,"",Y40-X40)</f>
        <v/>
      </c>
    </row>
    <row r="41">
      <c r="B41" t="inlineStr">
        <is>
          <t>A_HB_GRANGE</t>
        </is>
      </c>
      <c r="C41" t="inlineStr">
        <is>
          <t>A</t>
        </is>
      </c>
      <c r="D41" t="inlineStr">
        <is>
          <t>T3</t>
        </is>
      </c>
      <c r="E41">
        <f>COUNT('A_Replicates'!DP6:DP6)</f>
        <v/>
      </c>
      <c r="F41" s="20">
        <f>IF(E41=0,"",AVERAGE('A_Replicates'!DP6:DP6))</f>
        <v/>
      </c>
      <c r="G41" s="20">
        <f>IF(E41&lt;2,"",STDEV('A_Replicates'!DP6:DP6))</f>
        <v/>
      </c>
      <c r="H41" s="19">
        <f>IF(E41&lt;2,"",IF(G41=0,0,IF(ABS(F41)&lt;G41,"N/A(|Mean|&lt;SD)",G41/ABS(F41)*100)))</f>
        <v/>
      </c>
      <c r="I41" s="20">
        <f>IF(E41=0,"",MIN('A_Replicates'!DP6:DP6))</f>
        <v/>
      </c>
      <c r="J41" s="20">
        <f>IF(E41=0,"",MAX('A_Replicates'!DP6:DP6))</f>
        <v/>
      </c>
      <c r="K41" s="20">
        <f>IF(E41=0,"",J41-I41)</f>
        <v/>
      </c>
      <c r="L41" s="20">
        <f>IF(E41=0,"",SUMPRODUCT(ABS('A_Replicates'!DP6:DP6))/E41)</f>
        <v/>
      </c>
      <c r="M41" s="22">
        <f>IF(E41=0,"",COUNTIF('A_Replicates'!DP6:DP6,"&gt;0"))</f>
        <v/>
      </c>
      <c r="N41" s="22">
        <f>IF(E41=0,"",COUNTIF('A_Replicates'!DP6:DP6,"&lt;0"))</f>
        <v/>
      </c>
      <c r="O41" t="inlineStr">
        <is>
          <t>'A_Replicates'!DP6:DP6</t>
        </is>
      </c>
      <c r="P41" s="22">
        <f>COUNT('A_Replicates_INCL'!DP6:DP6)</f>
        <v/>
      </c>
      <c r="Q41" s="20">
        <f>IF(P41=0,"",AVERAGE('A_Replicates_INCL'!DP6:DP6))</f>
        <v/>
      </c>
      <c r="R41" s="20">
        <f>IF(P41&lt;2,"",STDEV('A_Replicates_INCL'!DP6:DP6))</f>
        <v/>
      </c>
      <c r="S41" s="20">
        <f>IF(OR(P41=0,E41=0),"",Q41-F41)</f>
        <v/>
      </c>
      <c r="T41" s="22">
        <f>COUNT('A_Replicates_EXC'!AB6:AB6)</f>
        <v/>
      </c>
      <c r="U41" s="20">
        <f>IF(T41=0,"",AVERAGE('A_Replicates_EXC'!AB6:AB6))</f>
        <v/>
      </c>
      <c r="V41" s="22">
        <f>COUNTIF('A_Replicates_INCL'!IN6:IN6,"torque 하한 밖 참고값")+COUNTIF('A_Replicates_INCL'!IN6:IN6,"torque 범위 밖 참고값")</f>
        <v/>
      </c>
      <c r="W41" s="22">
        <f>COUNTIF('A_Replicates_INCL'!IN6:IN6,"torque 상한 밖 참고값")+COUNTIF('A_Replicates_INCL'!IN6:IN6,"torque 범위 밖 참고값")</f>
        <v/>
      </c>
      <c r="X41">
        <f>IF(P41=0,"",MIN('A_Replicates_INCL'!DP6:DP6))</f>
        <v/>
      </c>
      <c r="Y41">
        <f>IF(P41=0,"",MAX('A_Replicates_INCL'!DP6:DP6))</f>
        <v/>
      </c>
      <c r="Z41">
        <f>IF(P41=0,"",Y41-X41)</f>
        <v/>
      </c>
    </row>
    <row r="42">
      <c r="B42" t="inlineStr">
        <is>
          <t>A_HB_K_RATIO</t>
        </is>
      </c>
      <c r="C42" t="inlineStr">
        <is>
          <t>A</t>
        </is>
      </c>
      <c r="D42" t="inlineStr">
        <is>
          <t>T3</t>
        </is>
      </c>
      <c r="E42">
        <f>COUNT('A_Replicates'!ET6:ET6)</f>
        <v/>
      </c>
      <c r="F42" s="19">
        <f>IF(E42=0,"",AVERAGE('A_Replicates'!ET6:ET6))</f>
        <v/>
      </c>
      <c r="G42" s="19">
        <f>IF(E42&lt;2,"",STDEV('A_Replicates'!ET6:ET6))</f>
        <v/>
      </c>
      <c r="H42" s="19">
        <f>IF(E42&lt;2,"",IF(G42=0,0,IF(ABS(F42)&lt;G42,"N/A(|Mean|&lt;SD)",G42/ABS(F42)*100)))</f>
        <v/>
      </c>
      <c r="I42" s="19">
        <f>IF(E42=0,"",MIN('A_Replicates'!ET6:ET6))</f>
        <v/>
      </c>
      <c r="J42" s="19">
        <f>IF(E42=0,"",MAX('A_Replicates'!ET6:ET6))</f>
        <v/>
      </c>
      <c r="K42" s="19">
        <f>IF(E42=0,"",J42-I42)</f>
        <v/>
      </c>
      <c r="L42" s="19">
        <f>IF(E42=0,"",SUMPRODUCT(ABS('A_Replicates'!ET6:ET6))/E42)</f>
        <v/>
      </c>
      <c r="M42" s="22">
        <f>IF(E42=0,"",COUNTIF('A_Replicates'!ET6:ET6,"&gt;0"))</f>
        <v/>
      </c>
      <c r="N42" s="22">
        <f>IF(E42=0,"",COUNTIF('A_Replicates'!ET6:ET6,"&lt;0"))</f>
        <v/>
      </c>
      <c r="O42" t="inlineStr">
        <is>
          <t>'A_Replicates'!ET6:ET6</t>
        </is>
      </c>
      <c r="P42" s="22">
        <f>COUNT('A_Replicates_INCL'!ET6:ET6)</f>
        <v/>
      </c>
      <c r="Q42" s="19">
        <f>IF(P42=0,"",AVERAGE('A_Replicates_INCL'!ET6:ET6))</f>
        <v/>
      </c>
      <c r="R42" s="19">
        <f>IF(P42&lt;2,"",STDEV('A_Replicates_INCL'!ET6:ET6))</f>
        <v/>
      </c>
      <c r="S42" s="19">
        <f>IF(OR(P42=0,E42=0),"",Q42-F42)</f>
        <v/>
      </c>
      <c r="T42" s="22">
        <f>COUNT('A_Replicates_EXC'!AL6:AL6)</f>
        <v/>
      </c>
      <c r="U42" s="19">
        <f>IF(T42=0,"",AVERAGE('A_Replicates_EXC'!AL6:AL6))</f>
        <v/>
      </c>
      <c r="V42" s="22">
        <f>COUNTIF('A_Replicates_INCL'!IX6:IX6,"torque 하한 밖 참고값")+COUNTIF('A_Replicates_INCL'!IX6:IX6,"torque 범위 밖 참고값")</f>
        <v/>
      </c>
      <c r="W42" s="22">
        <f>COUNTIF('A_Replicates_INCL'!IX6:IX6,"torque 상한 밖 참고값")+COUNTIF('A_Replicates_INCL'!IX6:IX6,"torque 범위 밖 참고값")</f>
        <v/>
      </c>
      <c r="X42">
        <f>IF(P42=0,"",MIN('A_Replicates_INCL'!ET6:ET6))</f>
        <v/>
      </c>
      <c r="Y42">
        <f>IF(P42=0,"",MAX('A_Replicates_INCL'!ET6:ET6))</f>
        <v/>
      </c>
      <c r="Z42">
        <f>IF(P42=0,"",Y42-X42)</f>
        <v/>
      </c>
    </row>
    <row r="43">
      <c r="B43" t="inlineStr">
        <is>
          <t>A_HB_N_DIFF</t>
        </is>
      </c>
      <c r="C43" t="inlineStr">
        <is>
          <t>A</t>
        </is>
      </c>
      <c r="D43" t="inlineStr">
        <is>
          <t>T3</t>
        </is>
      </c>
      <c r="E43">
        <f>COUNT('A_Replicates'!EW6:EW6)</f>
        <v/>
      </c>
      <c r="F43" s="20">
        <f>IF(E43=0,"",AVERAGE('A_Replicates'!EW6:EW6))</f>
        <v/>
      </c>
      <c r="G43" s="20">
        <f>IF(E43&lt;2,"",STDEV('A_Replicates'!EW6:EW6))</f>
        <v/>
      </c>
      <c r="H43" s="19">
        <f>IF(E43&lt;2,"",IF(G43=0,0,IF(ABS(F43)&lt;G43,"N/A(|Mean|&lt;SD)",G43/ABS(F43)*100)))</f>
        <v/>
      </c>
      <c r="I43" s="20">
        <f>IF(E43=0,"",MIN('A_Replicates'!EW6:EW6))</f>
        <v/>
      </c>
      <c r="J43" s="20">
        <f>IF(E43=0,"",MAX('A_Replicates'!EW6:EW6))</f>
        <v/>
      </c>
      <c r="K43" s="20">
        <f>IF(E43=0,"",J43-I43)</f>
        <v/>
      </c>
      <c r="L43" s="20">
        <f>IF(E43=0,"",SUMPRODUCT(ABS('A_Replicates'!EW6:EW6))/E43)</f>
        <v/>
      </c>
      <c r="M43" s="22">
        <f>IF(E43=0,"",COUNTIF('A_Replicates'!EW6:EW6,"&gt;0"))</f>
        <v/>
      </c>
      <c r="N43" s="22">
        <f>IF(E43=0,"",COUNTIF('A_Replicates'!EW6:EW6,"&lt;0"))</f>
        <v/>
      </c>
      <c r="O43" t="inlineStr">
        <is>
          <t>'A_Replicates'!EW6:EW6</t>
        </is>
      </c>
      <c r="P43" s="22">
        <f>COUNT('A_Replicates_INCL'!EW6:EW6)</f>
        <v/>
      </c>
      <c r="Q43" s="20">
        <f>IF(P43=0,"",AVERAGE('A_Replicates_INCL'!EW6:EW6))</f>
        <v/>
      </c>
      <c r="R43" s="20">
        <f>IF(P43&lt;2,"",STDEV('A_Replicates_INCL'!EW6:EW6))</f>
        <v/>
      </c>
      <c r="S43" s="20">
        <f>IF(OR(P43=0,E43=0),"",Q43-F43)</f>
        <v/>
      </c>
      <c r="T43" s="22">
        <f>COUNT('A_Replicates_EXC'!AM6:AM6)</f>
        <v/>
      </c>
      <c r="U43" s="20">
        <f>IF(T43=0,"",AVERAGE('A_Replicates_EXC'!AM6:AM6))</f>
        <v/>
      </c>
      <c r="V43" s="22">
        <f>COUNTIF('A_Replicates_INCL'!IY6:IY6,"torque 하한 밖 참고값")+COUNTIF('A_Replicates_INCL'!IY6:IY6,"torque 범위 밖 참고값")</f>
        <v/>
      </c>
      <c r="W43" s="22">
        <f>COUNTIF('A_Replicates_INCL'!IY6:IY6,"torque 상한 밖 참고값")+COUNTIF('A_Replicates_INCL'!IY6:IY6,"torque 범위 밖 참고값")</f>
        <v/>
      </c>
      <c r="X43">
        <f>IF(P43=0,"",MIN('A_Replicates_INCL'!EW6:EW6))</f>
        <v/>
      </c>
      <c r="Y43">
        <f>IF(P43=0,"",MAX('A_Replicates_INCL'!EW6:EW6))</f>
        <v/>
      </c>
      <c r="Z43">
        <f>IF(P43=0,"",Y43-X43)</f>
        <v/>
      </c>
    </row>
    <row r="44">
      <c r="B44" t="inlineStr">
        <is>
          <t>A_HB_TAUY_UP_COMMON</t>
        </is>
      </c>
      <c r="C44" t="inlineStr">
        <is>
          <t>A</t>
        </is>
      </c>
      <c r="D44" t="inlineStr">
        <is>
          <t>T3</t>
        </is>
      </c>
      <c r="E44">
        <f>COUNT('A_Replicates'!EZ6:EZ6)</f>
        <v/>
      </c>
      <c r="F44" s="19">
        <f>IF(E44=0,"",AVERAGE('A_Replicates'!EZ6:EZ6))</f>
        <v/>
      </c>
      <c r="G44" s="19">
        <f>IF(E44&lt;2,"",STDEV('A_Replicates'!EZ6:EZ6))</f>
        <v/>
      </c>
      <c r="H44" s="19">
        <f>IF(E44&lt;2,"",IF(G44=0,0,IF(ABS(F44)&lt;G44,"N/A(|Mean|&lt;SD)",G44/ABS(F44)*100)))</f>
        <v/>
      </c>
      <c r="I44" s="19">
        <f>IF(E44=0,"",MIN('A_Replicates'!EZ6:EZ6))</f>
        <v/>
      </c>
      <c r="J44" s="19">
        <f>IF(E44=0,"",MAX('A_Replicates'!EZ6:EZ6))</f>
        <v/>
      </c>
      <c r="K44" s="19">
        <f>IF(E44=0,"",J44-I44)</f>
        <v/>
      </c>
      <c r="L44" s="19">
        <f>IF(E44=0,"",SUMPRODUCT(ABS('A_Replicates'!EZ6:EZ6))/E44)</f>
        <v/>
      </c>
      <c r="M44" s="22">
        <f>IF(E44=0,"",COUNTIF('A_Replicates'!EZ6:EZ6,"&gt;0"))</f>
        <v/>
      </c>
      <c r="N44" s="22">
        <f>IF(E44=0,"",COUNTIF('A_Replicates'!EZ6:EZ6,"&lt;0"))</f>
        <v/>
      </c>
      <c r="O44" t="inlineStr">
        <is>
          <t>'A_Replicates'!EZ6:EZ6</t>
        </is>
      </c>
      <c r="P44" s="22">
        <f>COUNT('A_Replicates_INCL'!EZ6:EZ6)</f>
        <v/>
      </c>
      <c r="Q44" s="19">
        <f>IF(P44=0,"",AVERAGE('A_Replicates_INCL'!EZ6:EZ6))</f>
        <v/>
      </c>
      <c r="R44" s="19">
        <f>IF(P44&lt;2,"",STDEV('A_Replicates_INCL'!EZ6:EZ6))</f>
        <v/>
      </c>
      <c r="S44" s="19">
        <f>IF(OR(P44=0,E44=0),"",Q44-F44)</f>
        <v/>
      </c>
      <c r="T44" s="22">
        <f>COUNT('A_Replicates_EXC'!AN6:AN6)</f>
        <v/>
      </c>
      <c r="U44" s="19">
        <f>IF(T44=0,"",AVERAGE('A_Replicates_EXC'!AN6:AN6))</f>
        <v/>
      </c>
      <c r="V44" s="22">
        <f>COUNTIF('A_Replicates_INCL'!IZ6:IZ6,"torque 하한 밖 참고값")+COUNTIF('A_Replicates_INCL'!IZ6:IZ6,"torque 범위 밖 참고값")</f>
        <v/>
      </c>
      <c r="W44" s="22">
        <f>COUNTIF('A_Replicates_INCL'!IZ6:IZ6,"torque 상한 밖 참고값")+COUNTIF('A_Replicates_INCL'!IZ6:IZ6,"torque 범위 밖 참고값")</f>
        <v/>
      </c>
      <c r="X44">
        <f>IF(P44=0,"",MIN('A_Replicates_INCL'!EZ6:EZ6))</f>
        <v/>
      </c>
      <c r="Y44">
        <f>IF(P44=0,"",MAX('A_Replicates_INCL'!EZ6:EZ6))</f>
        <v/>
      </c>
      <c r="Z44">
        <f>IF(P44=0,"",Y44-X44)</f>
        <v/>
      </c>
    </row>
    <row r="45">
      <c r="B45" t="inlineStr">
        <is>
          <t>A_HB_K_UP_COMMON</t>
        </is>
      </c>
      <c r="C45" t="inlineStr">
        <is>
          <t>A</t>
        </is>
      </c>
      <c r="D45" t="inlineStr">
        <is>
          <t>T3</t>
        </is>
      </c>
      <c r="E45">
        <f>COUNT('A_Replicates'!FC6:FC6)</f>
        <v/>
      </c>
      <c r="F45" s="20">
        <f>IF(E45=0,"",AVERAGE('A_Replicates'!FC6:FC6))</f>
        <v/>
      </c>
      <c r="G45" s="20">
        <f>IF(E45&lt;2,"",STDEV('A_Replicates'!FC6:FC6))</f>
        <v/>
      </c>
      <c r="H45" s="19">
        <f>IF(E45&lt;2,"",IF(G45=0,0,IF(ABS(F45)&lt;G45,"N/A(|Mean|&lt;SD)",G45/ABS(F45)*100)))</f>
        <v/>
      </c>
      <c r="I45" s="20">
        <f>IF(E45=0,"",MIN('A_Replicates'!FC6:FC6))</f>
        <v/>
      </c>
      <c r="J45" s="20">
        <f>IF(E45=0,"",MAX('A_Replicates'!FC6:FC6))</f>
        <v/>
      </c>
      <c r="K45" s="20">
        <f>IF(E45=0,"",J45-I45)</f>
        <v/>
      </c>
      <c r="L45" s="20">
        <f>IF(E45=0,"",SUMPRODUCT(ABS('A_Replicates'!FC6:FC6))/E45)</f>
        <v/>
      </c>
      <c r="M45" s="22">
        <f>IF(E45=0,"",COUNTIF('A_Replicates'!FC6:FC6,"&gt;0"))</f>
        <v/>
      </c>
      <c r="N45" s="22">
        <f>IF(E45=0,"",COUNTIF('A_Replicates'!FC6:FC6,"&lt;0"))</f>
        <v/>
      </c>
      <c r="O45" t="inlineStr">
        <is>
          <t>'A_Replicates'!FC6:FC6</t>
        </is>
      </c>
      <c r="P45" s="22">
        <f>COUNT('A_Replicates_INCL'!FC6:FC6)</f>
        <v/>
      </c>
      <c r="Q45" s="20">
        <f>IF(P45=0,"",AVERAGE('A_Replicates_INCL'!FC6:FC6))</f>
        <v/>
      </c>
      <c r="R45" s="20">
        <f>IF(P45&lt;2,"",STDEV('A_Replicates_INCL'!FC6:FC6))</f>
        <v/>
      </c>
      <c r="S45" s="20">
        <f>IF(OR(P45=0,E45=0),"",Q45-F45)</f>
        <v/>
      </c>
      <c r="T45" s="22">
        <f>COUNT('A_Replicates_EXC'!AO6:AO6)</f>
        <v/>
      </c>
      <c r="U45" s="20">
        <f>IF(T45=0,"",AVERAGE('A_Replicates_EXC'!AO6:AO6))</f>
        <v/>
      </c>
      <c r="V45" s="22">
        <f>COUNTIF('A_Replicates_INCL'!JA6:JA6,"torque 하한 밖 참고값")+COUNTIF('A_Replicates_INCL'!JA6:JA6,"torque 범위 밖 참고값")</f>
        <v/>
      </c>
      <c r="W45" s="22">
        <f>COUNTIF('A_Replicates_INCL'!JA6:JA6,"torque 상한 밖 참고값")+COUNTIF('A_Replicates_INCL'!JA6:JA6,"torque 범위 밖 참고값")</f>
        <v/>
      </c>
      <c r="X45">
        <f>IF(P45=0,"",MIN('A_Replicates_INCL'!FC6:FC6))</f>
        <v/>
      </c>
      <c r="Y45">
        <f>IF(P45=0,"",MAX('A_Replicates_INCL'!FC6:FC6))</f>
        <v/>
      </c>
      <c r="Z45">
        <f>IF(P45=0,"",Y45-X45)</f>
        <v/>
      </c>
    </row>
    <row r="46">
      <c r="B46" t="inlineStr">
        <is>
          <t>A_HB_N_UP_COMMON</t>
        </is>
      </c>
      <c r="C46" t="inlineStr">
        <is>
          <t>A</t>
        </is>
      </c>
      <c r="D46" t="inlineStr">
        <is>
          <t>T3</t>
        </is>
      </c>
      <c r="E46">
        <f>COUNT('A_Replicates'!FF6:FF6)</f>
        <v/>
      </c>
      <c r="F46" s="20">
        <f>IF(E46=0,"",AVERAGE('A_Replicates'!FF6:FF6))</f>
        <v/>
      </c>
      <c r="G46" s="20">
        <f>IF(E46&lt;2,"",STDEV('A_Replicates'!FF6:FF6))</f>
        <v/>
      </c>
      <c r="H46" s="19">
        <f>IF(E46&lt;2,"",IF(G46=0,0,IF(ABS(F46)&lt;G46,"N/A(|Mean|&lt;SD)",G46/ABS(F46)*100)))</f>
        <v/>
      </c>
      <c r="I46" s="20">
        <f>IF(E46=0,"",MIN('A_Replicates'!FF6:FF6))</f>
        <v/>
      </c>
      <c r="J46" s="20">
        <f>IF(E46=0,"",MAX('A_Replicates'!FF6:FF6))</f>
        <v/>
      </c>
      <c r="K46" s="20">
        <f>IF(E46=0,"",J46-I46)</f>
        <v/>
      </c>
      <c r="L46" s="20">
        <f>IF(E46=0,"",SUMPRODUCT(ABS('A_Replicates'!FF6:FF6))/E46)</f>
        <v/>
      </c>
      <c r="M46" s="22">
        <f>IF(E46=0,"",COUNTIF('A_Replicates'!FF6:FF6,"&gt;0"))</f>
        <v/>
      </c>
      <c r="N46" s="22">
        <f>IF(E46=0,"",COUNTIF('A_Replicates'!FF6:FF6,"&lt;0"))</f>
        <v/>
      </c>
      <c r="O46" t="inlineStr">
        <is>
          <t>'A_Replicates'!FF6:FF6</t>
        </is>
      </c>
      <c r="P46" s="22">
        <f>COUNT('A_Replicates_INCL'!FF6:FF6)</f>
        <v/>
      </c>
      <c r="Q46" s="20">
        <f>IF(P46=0,"",AVERAGE('A_Replicates_INCL'!FF6:FF6))</f>
        <v/>
      </c>
      <c r="R46" s="20">
        <f>IF(P46&lt;2,"",STDEV('A_Replicates_INCL'!FF6:FF6))</f>
        <v/>
      </c>
      <c r="S46" s="20">
        <f>IF(OR(P46=0,E46=0),"",Q46-F46)</f>
        <v/>
      </c>
      <c r="T46" s="22">
        <f>COUNT('A_Replicates_EXC'!AP6:AP6)</f>
        <v/>
      </c>
      <c r="U46" s="20">
        <f>IF(T46=0,"",AVERAGE('A_Replicates_EXC'!AP6:AP6))</f>
        <v/>
      </c>
      <c r="V46" s="22">
        <f>COUNTIF('A_Replicates_INCL'!JB6:JB6,"torque 하한 밖 참고값")+COUNTIF('A_Replicates_INCL'!JB6:JB6,"torque 범위 밖 참고값")</f>
        <v/>
      </c>
      <c r="W46" s="22">
        <f>COUNTIF('A_Replicates_INCL'!JB6:JB6,"torque 상한 밖 참고값")+COUNTIF('A_Replicates_INCL'!JB6:JB6,"torque 범위 밖 참고값")</f>
        <v/>
      </c>
      <c r="X46">
        <f>IF(P46=0,"",MIN('A_Replicates_INCL'!FF6:FF6))</f>
        <v/>
      </c>
      <c r="Y46">
        <f>IF(P46=0,"",MAX('A_Replicates_INCL'!FF6:FF6))</f>
        <v/>
      </c>
      <c r="Z46">
        <f>IF(P46=0,"",Y46-X46)</f>
        <v/>
      </c>
    </row>
    <row r="47">
      <c r="B47" t="inlineStr">
        <is>
          <t>A_HB_R2_UP_COMMON</t>
        </is>
      </c>
      <c r="C47" t="inlineStr">
        <is>
          <t>A</t>
        </is>
      </c>
      <c r="D47" t="inlineStr">
        <is>
          <t>T3</t>
        </is>
      </c>
      <c r="E47">
        <f>COUNT('A_Replicates'!FI6:FI6)</f>
        <v/>
      </c>
      <c r="F47" s="20">
        <f>IF(E47=0,"",AVERAGE('A_Replicates'!FI6:FI6))</f>
        <v/>
      </c>
      <c r="G47" s="20">
        <f>IF(E47&lt;2,"",STDEV('A_Replicates'!FI6:FI6))</f>
        <v/>
      </c>
      <c r="H47" s="19">
        <f>IF(E47&lt;2,"",IF(G47=0,0,IF(ABS(F47)&lt;G47,"N/A(|Mean|&lt;SD)",G47/ABS(F47)*100)))</f>
        <v/>
      </c>
      <c r="I47" s="20">
        <f>IF(E47=0,"",MIN('A_Replicates'!FI6:FI6))</f>
        <v/>
      </c>
      <c r="J47" s="20">
        <f>IF(E47=0,"",MAX('A_Replicates'!FI6:FI6))</f>
        <v/>
      </c>
      <c r="K47" s="20">
        <f>IF(E47=0,"",J47-I47)</f>
        <v/>
      </c>
      <c r="L47" s="20">
        <f>IF(E47=0,"",SUMPRODUCT(ABS('A_Replicates'!FI6:FI6))/E47)</f>
        <v/>
      </c>
      <c r="M47" s="22">
        <f>IF(E47=0,"",COUNTIF('A_Replicates'!FI6:FI6,"&gt;0"))</f>
        <v/>
      </c>
      <c r="N47" s="22">
        <f>IF(E47=0,"",COUNTIF('A_Replicates'!FI6:FI6,"&lt;0"))</f>
        <v/>
      </c>
      <c r="O47" t="inlineStr">
        <is>
          <t>'A_Replicates'!FI6:FI6</t>
        </is>
      </c>
      <c r="P47" s="22">
        <f>COUNT('A_Replicates_INCL'!FI6:FI6)</f>
        <v/>
      </c>
      <c r="Q47" s="20">
        <f>IF(P47=0,"",AVERAGE('A_Replicates_INCL'!FI6:FI6))</f>
        <v/>
      </c>
      <c r="R47" s="20">
        <f>IF(P47&lt;2,"",STDEV('A_Replicates_INCL'!FI6:FI6))</f>
        <v/>
      </c>
      <c r="S47" s="20">
        <f>IF(OR(P47=0,E47=0),"",Q47-F47)</f>
        <v/>
      </c>
      <c r="T47" s="22">
        <f>COUNT('A_Replicates_EXC'!AQ6:AQ6)</f>
        <v/>
      </c>
      <c r="U47" s="20">
        <f>IF(T47=0,"",AVERAGE('A_Replicates_EXC'!AQ6:AQ6))</f>
        <v/>
      </c>
      <c r="V47" s="22">
        <f>COUNTIF('A_Replicates_INCL'!JC6:JC6,"torque 하한 밖 참고값")+COUNTIF('A_Replicates_INCL'!JC6:JC6,"torque 범위 밖 참고값")</f>
        <v/>
      </c>
      <c r="W47" s="22">
        <f>COUNTIF('A_Replicates_INCL'!JC6:JC6,"torque 상한 밖 참고값")+COUNTIF('A_Replicates_INCL'!JC6:JC6,"torque 범위 밖 참고값")</f>
        <v/>
      </c>
      <c r="X47">
        <f>IF(P47=0,"",MIN('A_Replicates_INCL'!FI6:FI6))</f>
        <v/>
      </c>
      <c r="Y47">
        <f>IF(P47=0,"",MAX('A_Replicates_INCL'!FI6:FI6))</f>
        <v/>
      </c>
      <c r="Z47">
        <f>IF(P47=0,"",Y47-X47)</f>
        <v/>
      </c>
    </row>
    <row r="48">
      <c r="B48" t="inlineStr">
        <is>
          <t>A_HB_TAUY_DN_COMMON</t>
        </is>
      </c>
      <c r="C48" t="inlineStr">
        <is>
          <t>A</t>
        </is>
      </c>
      <c r="D48" t="inlineStr">
        <is>
          <t>T3</t>
        </is>
      </c>
      <c r="E48">
        <f>COUNT('A_Replicates'!FL6:FL6)</f>
        <v/>
      </c>
      <c r="F48" s="19">
        <f>IF(E48=0,"",AVERAGE('A_Replicates'!FL6:FL6))</f>
        <v/>
      </c>
      <c r="G48" s="19">
        <f>IF(E48&lt;2,"",STDEV('A_Replicates'!FL6:FL6))</f>
        <v/>
      </c>
      <c r="H48" s="19">
        <f>IF(E48&lt;2,"",IF(G48=0,0,IF(ABS(F48)&lt;G48,"N/A(|Mean|&lt;SD)",G48/ABS(F48)*100)))</f>
        <v/>
      </c>
      <c r="I48" s="19">
        <f>IF(E48=0,"",MIN('A_Replicates'!FL6:FL6))</f>
        <v/>
      </c>
      <c r="J48" s="19">
        <f>IF(E48=0,"",MAX('A_Replicates'!FL6:FL6))</f>
        <v/>
      </c>
      <c r="K48" s="19">
        <f>IF(E48=0,"",J48-I48)</f>
        <v/>
      </c>
      <c r="L48" s="19">
        <f>IF(E48=0,"",SUMPRODUCT(ABS('A_Replicates'!FL6:FL6))/E48)</f>
        <v/>
      </c>
      <c r="M48" s="22">
        <f>IF(E48=0,"",COUNTIF('A_Replicates'!FL6:FL6,"&gt;0"))</f>
        <v/>
      </c>
      <c r="N48" s="22">
        <f>IF(E48=0,"",COUNTIF('A_Replicates'!FL6:FL6,"&lt;0"))</f>
        <v/>
      </c>
      <c r="O48" t="inlineStr">
        <is>
          <t>'A_Replicates'!FL6:FL6</t>
        </is>
      </c>
      <c r="P48" s="22">
        <f>COUNT('A_Replicates_INCL'!FL6:FL6)</f>
        <v/>
      </c>
      <c r="Q48" s="19">
        <f>IF(P48=0,"",AVERAGE('A_Replicates_INCL'!FL6:FL6))</f>
        <v/>
      </c>
      <c r="R48" s="19">
        <f>IF(P48&lt;2,"",STDEV('A_Replicates_INCL'!FL6:FL6))</f>
        <v/>
      </c>
      <c r="S48" s="19">
        <f>IF(OR(P48=0,E48=0),"",Q48-F48)</f>
        <v/>
      </c>
      <c r="T48" s="22">
        <f>COUNT('A_Replicates_EXC'!AR6:AR6)</f>
        <v/>
      </c>
      <c r="U48" s="19">
        <f>IF(T48=0,"",AVERAGE('A_Replicates_EXC'!AR6:AR6))</f>
        <v/>
      </c>
      <c r="V48" s="22">
        <f>COUNTIF('A_Replicates_INCL'!JD6:JD6,"torque 하한 밖 참고값")+COUNTIF('A_Replicates_INCL'!JD6:JD6,"torque 범위 밖 참고값")</f>
        <v/>
      </c>
      <c r="W48" s="22">
        <f>COUNTIF('A_Replicates_INCL'!JD6:JD6,"torque 상한 밖 참고값")+COUNTIF('A_Replicates_INCL'!JD6:JD6,"torque 범위 밖 참고값")</f>
        <v/>
      </c>
      <c r="X48">
        <f>IF(P48=0,"",MIN('A_Replicates_INCL'!FL6:FL6))</f>
        <v/>
      </c>
      <c r="Y48">
        <f>IF(P48=0,"",MAX('A_Replicates_INCL'!FL6:FL6))</f>
        <v/>
      </c>
      <c r="Z48">
        <f>IF(P48=0,"",Y48-X48)</f>
        <v/>
      </c>
    </row>
    <row r="49">
      <c r="B49" t="inlineStr">
        <is>
          <t>A_HB_K_DN_COMMON</t>
        </is>
      </c>
      <c r="C49" t="inlineStr">
        <is>
          <t>A</t>
        </is>
      </c>
      <c r="D49" t="inlineStr">
        <is>
          <t>T3</t>
        </is>
      </c>
      <c r="E49">
        <f>COUNT('A_Replicates'!FO6:FO6)</f>
        <v/>
      </c>
      <c r="F49" s="20">
        <f>IF(E49=0,"",AVERAGE('A_Replicates'!FO6:FO6))</f>
        <v/>
      </c>
      <c r="G49" s="20">
        <f>IF(E49&lt;2,"",STDEV('A_Replicates'!FO6:FO6))</f>
        <v/>
      </c>
      <c r="H49" s="19">
        <f>IF(E49&lt;2,"",IF(G49=0,0,IF(ABS(F49)&lt;G49,"N/A(|Mean|&lt;SD)",G49/ABS(F49)*100)))</f>
        <v/>
      </c>
      <c r="I49" s="20">
        <f>IF(E49=0,"",MIN('A_Replicates'!FO6:FO6))</f>
        <v/>
      </c>
      <c r="J49" s="20">
        <f>IF(E49=0,"",MAX('A_Replicates'!FO6:FO6))</f>
        <v/>
      </c>
      <c r="K49" s="20">
        <f>IF(E49=0,"",J49-I49)</f>
        <v/>
      </c>
      <c r="L49" s="20">
        <f>IF(E49=0,"",SUMPRODUCT(ABS('A_Replicates'!FO6:FO6))/E49)</f>
        <v/>
      </c>
      <c r="M49" s="22">
        <f>IF(E49=0,"",COUNTIF('A_Replicates'!FO6:FO6,"&gt;0"))</f>
        <v/>
      </c>
      <c r="N49" s="22">
        <f>IF(E49=0,"",COUNTIF('A_Replicates'!FO6:FO6,"&lt;0"))</f>
        <v/>
      </c>
      <c r="O49" t="inlineStr">
        <is>
          <t>'A_Replicates'!FO6:FO6</t>
        </is>
      </c>
      <c r="P49" s="22">
        <f>COUNT('A_Replicates_INCL'!FO6:FO6)</f>
        <v/>
      </c>
      <c r="Q49" s="20">
        <f>IF(P49=0,"",AVERAGE('A_Replicates_INCL'!FO6:FO6))</f>
        <v/>
      </c>
      <c r="R49" s="20">
        <f>IF(P49&lt;2,"",STDEV('A_Replicates_INCL'!FO6:FO6))</f>
        <v/>
      </c>
      <c r="S49" s="20">
        <f>IF(OR(P49=0,E49=0),"",Q49-F49)</f>
        <v/>
      </c>
      <c r="T49" s="22">
        <f>COUNT('A_Replicates_EXC'!AS6:AS6)</f>
        <v/>
      </c>
      <c r="U49" s="20">
        <f>IF(T49=0,"",AVERAGE('A_Replicates_EXC'!AS6:AS6))</f>
        <v/>
      </c>
      <c r="V49" s="22">
        <f>COUNTIF('A_Replicates_INCL'!JE6:JE6,"torque 하한 밖 참고값")+COUNTIF('A_Replicates_INCL'!JE6:JE6,"torque 범위 밖 참고값")</f>
        <v/>
      </c>
      <c r="W49" s="22">
        <f>COUNTIF('A_Replicates_INCL'!JE6:JE6,"torque 상한 밖 참고값")+COUNTIF('A_Replicates_INCL'!JE6:JE6,"torque 범위 밖 참고값")</f>
        <v/>
      </c>
      <c r="X49">
        <f>IF(P49=0,"",MIN('A_Replicates_INCL'!FO6:FO6))</f>
        <v/>
      </c>
      <c r="Y49">
        <f>IF(P49=0,"",MAX('A_Replicates_INCL'!FO6:FO6))</f>
        <v/>
      </c>
      <c r="Z49">
        <f>IF(P49=0,"",Y49-X49)</f>
        <v/>
      </c>
    </row>
    <row r="50">
      <c r="B50" t="inlineStr">
        <is>
          <t>A_HB_N_DN_COMMON</t>
        </is>
      </c>
      <c r="C50" t="inlineStr">
        <is>
          <t>A</t>
        </is>
      </c>
      <c r="D50" t="inlineStr">
        <is>
          <t>T3</t>
        </is>
      </c>
      <c r="E50">
        <f>COUNT('A_Replicates'!FR6:FR6)</f>
        <v/>
      </c>
      <c r="F50" s="20">
        <f>IF(E50=0,"",AVERAGE('A_Replicates'!FR6:FR6))</f>
        <v/>
      </c>
      <c r="G50" s="20">
        <f>IF(E50&lt;2,"",STDEV('A_Replicates'!FR6:FR6))</f>
        <v/>
      </c>
      <c r="H50" s="19">
        <f>IF(E50&lt;2,"",IF(G50=0,0,IF(ABS(F50)&lt;G50,"N/A(|Mean|&lt;SD)",G50/ABS(F50)*100)))</f>
        <v/>
      </c>
      <c r="I50" s="20">
        <f>IF(E50=0,"",MIN('A_Replicates'!FR6:FR6))</f>
        <v/>
      </c>
      <c r="J50" s="20">
        <f>IF(E50=0,"",MAX('A_Replicates'!FR6:FR6))</f>
        <v/>
      </c>
      <c r="K50" s="20">
        <f>IF(E50=0,"",J50-I50)</f>
        <v/>
      </c>
      <c r="L50" s="20">
        <f>IF(E50=0,"",SUMPRODUCT(ABS('A_Replicates'!FR6:FR6))/E50)</f>
        <v/>
      </c>
      <c r="M50" s="22">
        <f>IF(E50=0,"",COUNTIF('A_Replicates'!FR6:FR6,"&gt;0"))</f>
        <v/>
      </c>
      <c r="N50" s="22">
        <f>IF(E50=0,"",COUNTIF('A_Replicates'!FR6:FR6,"&lt;0"))</f>
        <v/>
      </c>
      <c r="O50" t="inlineStr">
        <is>
          <t>'A_Replicates'!FR6:FR6</t>
        </is>
      </c>
      <c r="P50" s="22">
        <f>COUNT('A_Replicates_INCL'!FR6:FR6)</f>
        <v/>
      </c>
      <c r="Q50" s="20">
        <f>IF(P50=0,"",AVERAGE('A_Replicates_INCL'!FR6:FR6))</f>
        <v/>
      </c>
      <c r="R50" s="20">
        <f>IF(P50&lt;2,"",STDEV('A_Replicates_INCL'!FR6:FR6))</f>
        <v/>
      </c>
      <c r="S50" s="20">
        <f>IF(OR(P50=0,E50=0),"",Q50-F50)</f>
        <v/>
      </c>
      <c r="T50" s="22">
        <f>COUNT('A_Replicates_EXC'!AT6:AT6)</f>
        <v/>
      </c>
      <c r="U50" s="20">
        <f>IF(T50=0,"",AVERAGE('A_Replicates_EXC'!AT6:AT6))</f>
        <v/>
      </c>
      <c r="V50" s="22">
        <f>COUNTIF('A_Replicates_INCL'!JF6:JF6,"torque 하한 밖 참고값")+COUNTIF('A_Replicates_INCL'!JF6:JF6,"torque 범위 밖 참고값")</f>
        <v/>
      </c>
      <c r="W50" s="22">
        <f>COUNTIF('A_Replicates_INCL'!JF6:JF6,"torque 상한 밖 참고값")+COUNTIF('A_Replicates_INCL'!JF6:JF6,"torque 범위 밖 참고값")</f>
        <v/>
      </c>
      <c r="X50">
        <f>IF(P50=0,"",MIN('A_Replicates_INCL'!FR6:FR6))</f>
        <v/>
      </c>
      <c r="Y50">
        <f>IF(P50=0,"",MAX('A_Replicates_INCL'!FR6:FR6))</f>
        <v/>
      </c>
      <c r="Z50">
        <f>IF(P50=0,"",Y50-X50)</f>
        <v/>
      </c>
    </row>
    <row r="51">
      <c r="B51" t="inlineStr">
        <is>
          <t>A_HB_R2_DN_COMMON</t>
        </is>
      </c>
      <c r="C51" t="inlineStr">
        <is>
          <t>A</t>
        </is>
      </c>
      <c r="D51" t="inlineStr">
        <is>
          <t>T3</t>
        </is>
      </c>
      <c r="E51">
        <f>COUNT('A_Replicates'!FU6:FU6)</f>
        <v/>
      </c>
      <c r="F51" s="20">
        <f>IF(E51=0,"",AVERAGE('A_Replicates'!FU6:FU6))</f>
        <v/>
      </c>
      <c r="G51" s="20">
        <f>IF(E51&lt;2,"",STDEV('A_Replicates'!FU6:FU6))</f>
        <v/>
      </c>
      <c r="H51" s="19">
        <f>IF(E51&lt;2,"",IF(G51=0,0,IF(ABS(F51)&lt;G51,"N/A(|Mean|&lt;SD)",G51/ABS(F51)*100)))</f>
        <v/>
      </c>
      <c r="I51" s="20">
        <f>IF(E51=0,"",MIN('A_Replicates'!FU6:FU6))</f>
        <v/>
      </c>
      <c r="J51" s="20">
        <f>IF(E51=0,"",MAX('A_Replicates'!FU6:FU6))</f>
        <v/>
      </c>
      <c r="K51" s="20">
        <f>IF(E51=0,"",J51-I51)</f>
        <v/>
      </c>
      <c r="L51" s="20">
        <f>IF(E51=0,"",SUMPRODUCT(ABS('A_Replicates'!FU6:FU6))/E51)</f>
        <v/>
      </c>
      <c r="M51" s="22">
        <f>IF(E51=0,"",COUNTIF('A_Replicates'!FU6:FU6,"&gt;0"))</f>
        <v/>
      </c>
      <c r="N51" s="22">
        <f>IF(E51=0,"",COUNTIF('A_Replicates'!FU6:FU6,"&lt;0"))</f>
        <v/>
      </c>
      <c r="O51" t="inlineStr">
        <is>
          <t>'A_Replicates'!FU6:FU6</t>
        </is>
      </c>
      <c r="P51" s="22">
        <f>COUNT('A_Replicates_INCL'!FU6:FU6)</f>
        <v/>
      </c>
      <c r="Q51" s="20">
        <f>IF(P51=0,"",AVERAGE('A_Replicates_INCL'!FU6:FU6))</f>
        <v/>
      </c>
      <c r="R51" s="20">
        <f>IF(P51&lt;2,"",STDEV('A_Replicates_INCL'!FU6:FU6))</f>
        <v/>
      </c>
      <c r="S51" s="20">
        <f>IF(OR(P51=0,E51=0),"",Q51-F51)</f>
        <v/>
      </c>
      <c r="T51" s="22">
        <f>COUNT('A_Replicates_EXC'!AU6:AU6)</f>
        <v/>
      </c>
      <c r="U51" s="20">
        <f>IF(T51=0,"",AVERAGE('A_Replicates_EXC'!AU6:AU6))</f>
        <v/>
      </c>
      <c r="V51" s="22">
        <f>COUNTIF('A_Replicates_INCL'!JG6:JG6,"torque 하한 밖 참고값")+COUNTIF('A_Replicates_INCL'!JG6:JG6,"torque 범위 밖 참고값")</f>
        <v/>
      </c>
      <c r="W51" s="22">
        <f>COUNTIF('A_Replicates_INCL'!JG6:JG6,"torque 상한 밖 참고값")+COUNTIF('A_Replicates_INCL'!JG6:JG6,"torque 범위 밖 참고값")</f>
        <v/>
      </c>
      <c r="X51">
        <f>IF(P51=0,"",MIN('A_Replicates_INCL'!FU6:FU6))</f>
        <v/>
      </c>
      <c r="Y51">
        <f>IF(P51=0,"",MAX('A_Replicates_INCL'!FU6:FU6))</f>
        <v/>
      </c>
      <c r="Z51">
        <f>IF(P51=0,"",Y51-X51)</f>
        <v/>
      </c>
    </row>
    <row r="52">
      <c r="B52" t="inlineStr">
        <is>
          <t>A_HB_TAUY_RATIO_COMMON</t>
        </is>
      </c>
      <c r="C52" t="inlineStr">
        <is>
          <t>A</t>
        </is>
      </c>
      <c r="D52" t="inlineStr">
        <is>
          <t>T3</t>
        </is>
      </c>
      <c r="E52">
        <f>COUNT('A_Replicates'!FX6:FX6)</f>
        <v/>
      </c>
      <c r="F52" s="19">
        <f>IF(E52=0,"",AVERAGE('A_Replicates'!FX6:FX6))</f>
        <v/>
      </c>
      <c r="G52" s="19">
        <f>IF(E52&lt;2,"",STDEV('A_Replicates'!FX6:FX6))</f>
        <v/>
      </c>
      <c r="H52" s="19">
        <f>IF(E52&lt;2,"",IF(G52=0,0,IF(ABS(F52)&lt;G52,"N/A(|Mean|&lt;SD)",G52/ABS(F52)*100)))</f>
        <v/>
      </c>
      <c r="I52" s="19">
        <f>IF(E52=0,"",MIN('A_Replicates'!FX6:FX6))</f>
        <v/>
      </c>
      <c r="J52" s="19">
        <f>IF(E52=0,"",MAX('A_Replicates'!FX6:FX6))</f>
        <v/>
      </c>
      <c r="K52" s="19">
        <f>IF(E52=0,"",J52-I52)</f>
        <v/>
      </c>
      <c r="L52" s="19">
        <f>IF(E52=0,"",SUMPRODUCT(ABS('A_Replicates'!FX6:FX6))/E52)</f>
        <v/>
      </c>
      <c r="M52" s="22">
        <f>IF(E52=0,"",COUNTIF('A_Replicates'!FX6:FX6,"&gt;0"))</f>
        <v/>
      </c>
      <c r="N52" s="22">
        <f>IF(E52=0,"",COUNTIF('A_Replicates'!FX6:FX6,"&lt;0"))</f>
        <v/>
      </c>
      <c r="O52" t="inlineStr">
        <is>
          <t>'A_Replicates'!FX6:FX6</t>
        </is>
      </c>
      <c r="P52" s="22">
        <f>COUNT('A_Replicates_INCL'!FX6:FX6)</f>
        <v/>
      </c>
      <c r="Q52" s="19">
        <f>IF(P52=0,"",AVERAGE('A_Replicates_INCL'!FX6:FX6))</f>
        <v/>
      </c>
      <c r="R52" s="19">
        <f>IF(P52&lt;2,"",STDEV('A_Replicates_INCL'!FX6:FX6))</f>
        <v/>
      </c>
      <c r="S52" s="19">
        <f>IF(OR(P52=0,E52=0),"",Q52-F52)</f>
        <v/>
      </c>
      <c r="T52" s="22">
        <f>COUNT('A_Replicates_EXC'!AV6:AV6)</f>
        <v/>
      </c>
      <c r="U52" s="19">
        <f>IF(T52=0,"",AVERAGE('A_Replicates_EXC'!AV6:AV6))</f>
        <v/>
      </c>
      <c r="V52" s="22">
        <f>COUNTIF('A_Replicates_INCL'!JH6:JH6,"torque 하한 밖 참고값")+COUNTIF('A_Replicates_INCL'!JH6:JH6,"torque 범위 밖 참고값")</f>
        <v/>
      </c>
      <c r="W52" s="22">
        <f>COUNTIF('A_Replicates_INCL'!JH6:JH6,"torque 상한 밖 참고값")+COUNTIF('A_Replicates_INCL'!JH6:JH6,"torque 범위 밖 참고값")</f>
        <v/>
      </c>
      <c r="X52">
        <f>IF(P52=0,"",MIN('A_Replicates_INCL'!FX6:FX6))</f>
        <v/>
      </c>
      <c r="Y52">
        <f>IF(P52=0,"",MAX('A_Replicates_INCL'!FX6:FX6))</f>
        <v/>
      </c>
      <c r="Z52">
        <f>IF(P52=0,"",Y52-X52)</f>
        <v/>
      </c>
    </row>
    <row r="53">
      <c r="B53" t="inlineStr">
        <is>
          <t>A_STARTUP_PLATEAU_UP</t>
        </is>
      </c>
      <c r="C53" t="inlineStr">
        <is>
          <t>A</t>
        </is>
      </c>
      <c r="D53" t="inlineStr">
        <is>
          <t>T3</t>
        </is>
      </c>
      <c r="E53">
        <f>COUNT('A_Replicates'!GA6:GA6)</f>
        <v/>
      </c>
      <c r="F53" s="19">
        <f>IF(E53=0,"",AVERAGE('A_Replicates'!GA6:GA6))</f>
        <v/>
      </c>
      <c r="G53" s="19">
        <f>IF(E53&lt;2,"",STDEV('A_Replicates'!GA6:GA6))</f>
        <v/>
      </c>
      <c r="H53" s="19">
        <f>IF(E53&lt;2,"",IF(G53=0,0,IF(ABS(F53)&lt;G53,"N/A(|Mean|&lt;SD)",G53/ABS(F53)*100)))</f>
        <v/>
      </c>
      <c r="I53" s="19">
        <f>IF(E53=0,"",MIN('A_Replicates'!GA6:GA6))</f>
        <v/>
      </c>
      <c r="J53" s="19">
        <f>IF(E53=0,"",MAX('A_Replicates'!GA6:GA6))</f>
        <v/>
      </c>
      <c r="K53" s="19">
        <f>IF(E53=0,"",J53-I53)</f>
        <v/>
      </c>
      <c r="L53" s="19">
        <f>IF(E53=0,"",SUMPRODUCT(ABS('A_Replicates'!GA6:GA6))/E53)</f>
        <v/>
      </c>
      <c r="M53" s="22">
        <f>IF(E53=0,"",COUNTIF('A_Replicates'!GA6:GA6,"&gt;0"))</f>
        <v/>
      </c>
      <c r="N53" s="22">
        <f>IF(E53=0,"",COUNTIF('A_Replicates'!GA6:GA6,"&lt;0"))</f>
        <v/>
      </c>
      <c r="O53" t="inlineStr">
        <is>
          <t>'A_Replicates'!GA6:GA6</t>
        </is>
      </c>
      <c r="P53" s="22">
        <f>COUNT('A_Replicates_INCL'!GA6:GA6)</f>
        <v/>
      </c>
      <c r="Q53" s="19">
        <f>IF(P53=0,"",AVERAGE('A_Replicates_INCL'!GA6:GA6))</f>
        <v/>
      </c>
      <c r="R53" s="19">
        <f>IF(P53&lt;2,"",STDEV('A_Replicates_INCL'!GA6:GA6))</f>
        <v/>
      </c>
      <c r="S53" s="19">
        <f>IF(OR(P53=0,E53=0),"",Q53-F53)</f>
        <v/>
      </c>
      <c r="T53" s="22">
        <f>COUNT('A_Replicates_EXC'!AW6:AW6)</f>
        <v/>
      </c>
      <c r="U53" s="19">
        <f>IF(T53=0,"",AVERAGE('A_Replicates_EXC'!AW6:AW6))</f>
        <v/>
      </c>
      <c r="V53" s="22">
        <f>COUNTIF('A_Replicates_INCL'!JI6:JI6,"torque 하한 밖 참고값")+COUNTIF('A_Replicates_INCL'!JI6:JI6,"torque 범위 밖 참고값")</f>
        <v/>
      </c>
      <c r="W53" s="22">
        <f>COUNTIF('A_Replicates_INCL'!JI6:JI6,"torque 상한 밖 참고값")+COUNTIF('A_Replicates_INCL'!JI6:JI6,"torque 범위 밖 참고값")</f>
        <v/>
      </c>
      <c r="X53">
        <f>IF(P53=0,"",MIN('A_Replicates_INCL'!GA6:GA6))</f>
        <v/>
      </c>
      <c r="Y53">
        <f>IF(P53=0,"",MAX('A_Replicates_INCL'!GA6:GA6))</f>
        <v/>
      </c>
      <c r="Z53">
        <f>IF(P53=0,"",Y53-X53)</f>
        <v/>
      </c>
    </row>
    <row r="54">
      <c r="B54" t="inlineStr">
        <is>
          <t>A_POST_SHEAR_PLATEAU</t>
        </is>
      </c>
      <c r="C54" t="inlineStr">
        <is>
          <t>A</t>
        </is>
      </c>
      <c r="D54" t="inlineStr">
        <is>
          <t>T3</t>
        </is>
      </c>
      <c r="E54">
        <f>COUNT('A_Replicates'!GD6:GD6)</f>
        <v/>
      </c>
      <c r="F54" s="19">
        <f>IF(E54=0,"",AVERAGE('A_Replicates'!GD6:GD6))</f>
        <v/>
      </c>
      <c r="G54" s="19">
        <f>IF(E54&lt;2,"",STDEV('A_Replicates'!GD6:GD6))</f>
        <v/>
      </c>
      <c r="H54" s="19">
        <f>IF(E54&lt;2,"",IF(G54=0,0,IF(ABS(F54)&lt;G54,"N/A(|Mean|&lt;SD)",G54/ABS(F54)*100)))</f>
        <v/>
      </c>
      <c r="I54" s="19">
        <f>IF(E54=0,"",MIN('A_Replicates'!GD6:GD6))</f>
        <v/>
      </c>
      <c r="J54" s="19">
        <f>IF(E54=0,"",MAX('A_Replicates'!GD6:GD6))</f>
        <v/>
      </c>
      <c r="K54" s="19">
        <f>IF(E54=0,"",J54-I54)</f>
        <v/>
      </c>
      <c r="L54" s="19">
        <f>IF(E54=0,"",SUMPRODUCT(ABS('A_Replicates'!GD6:GD6))/E54)</f>
        <v/>
      </c>
      <c r="M54" s="22">
        <f>IF(E54=0,"",COUNTIF('A_Replicates'!GD6:GD6,"&gt;0"))</f>
        <v/>
      </c>
      <c r="N54" s="22">
        <f>IF(E54=0,"",COUNTIF('A_Replicates'!GD6:GD6,"&lt;0"))</f>
        <v/>
      </c>
      <c r="O54" t="inlineStr">
        <is>
          <t>'A_Replicates'!GD6:GD6</t>
        </is>
      </c>
      <c r="P54" s="22">
        <f>COUNT('A_Replicates_INCL'!GD6:GD6)</f>
        <v/>
      </c>
      <c r="Q54" s="19">
        <f>IF(P54=0,"",AVERAGE('A_Replicates_INCL'!GD6:GD6))</f>
        <v/>
      </c>
      <c r="R54" s="19">
        <f>IF(P54&lt;2,"",STDEV('A_Replicates_INCL'!GD6:GD6))</f>
        <v/>
      </c>
      <c r="S54" s="19">
        <f>IF(OR(P54=0,E54=0),"",Q54-F54)</f>
        <v/>
      </c>
      <c r="T54" s="22">
        <f>COUNT('A_Replicates_EXC'!AX6:AX6)</f>
        <v/>
      </c>
      <c r="U54" s="19">
        <f>IF(T54=0,"",AVERAGE('A_Replicates_EXC'!AX6:AX6))</f>
        <v/>
      </c>
      <c r="V54" s="22">
        <f>COUNTIF('A_Replicates_INCL'!JJ6:JJ6,"torque 하한 밖 참고값")+COUNTIF('A_Replicates_INCL'!JJ6:JJ6,"torque 범위 밖 참고값")</f>
        <v/>
      </c>
      <c r="W54" s="22">
        <f>COUNTIF('A_Replicates_INCL'!JJ6:JJ6,"torque 상한 밖 참고값")+COUNTIF('A_Replicates_INCL'!JJ6:JJ6,"torque 범위 밖 참고값")</f>
        <v/>
      </c>
      <c r="X54">
        <f>IF(P54=0,"",MIN('A_Replicates_INCL'!GD6:GD6))</f>
        <v/>
      </c>
      <c r="Y54">
        <f>IF(P54=0,"",MAX('A_Replicates_INCL'!GD6:GD6))</f>
        <v/>
      </c>
      <c r="Z54">
        <f>IF(P54=0,"",Y54-X54)</f>
        <v/>
      </c>
    </row>
    <row r="55">
      <c r="B55" t="inlineStr">
        <is>
          <t>A_PLATEAU_RETENTION</t>
        </is>
      </c>
      <c r="C55" t="inlineStr">
        <is>
          <t>A</t>
        </is>
      </c>
      <c r="D55" t="inlineStr">
        <is>
          <t>T3</t>
        </is>
      </c>
      <c r="E55">
        <f>COUNT('A_Replicates'!GG6:GG6)</f>
        <v/>
      </c>
      <c r="F55" s="19">
        <f>IF(E55=0,"",AVERAGE('A_Replicates'!GG6:GG6))</f>
        <v/>
      </c>
      <c r="G55" s="19">
        <f>IF(E55&lt;2,"",STDEV('A_Replicates'!GG6:GG6))</f>
        <v/>
      </c>
      <c r="H55" s="19">
        <f>IF(E55&lt;2,"",IF(G55=0,0,IF(ABS(F55)&lt;G55,"N/A(|Mean|&lt;SD)",G55/ABS(F55)*100)))</f>
        <v/>
      </c>
      <c r="I55" s="19">
        <f>IF(E55=0,"",MIN('A_Replicates'!GG6:GG6))</f>
        <v/>
      </c>
      <c r="J55" s="19">
        <f>IF(E55=0,"",MAX('A_Replicates'!GG6:GG6))</f>
        <v/>
      </c>
      <c r="K55" s="19">
        <f>IF(E55=0,"",J55-I55)</f>
        <v/>
      </c>
      <c r="L55" s="19">
        <f>IF(E55=0,"",SUMPRODUCT(ABS('A_Replicates'!GG6:GG6))/E55)</f>
        <v/>
      </c>
      <c r="M55" s="22">
        <f>IF(E55=0,"",COUNTIF('A_Replicates'!GG6:GG6,"&gt;0"))</f>
        <v/>
      </c>
      <c r="N55" s="22">
        <f>IF(E55=0,"",COUNTIF('A_Replicates'!GG6:GG6,"&lt;0"))</f>
        <v/>
      </c>
      <c r="O55" t="inlineStr">
        <is>
          <t>'A_Replicates'!GG6:GG6</t>
        </is>
      </c>
      <c r="P55" s="22">
        <f>COUNT('A_Replicates_INCL'!GG6:GG6)</f>
        <v/>
      </c>
      <c r="Q55" s="19">
        <f>IF(P55=0,"",AVERAGE('A_Replicates_INCL'!GG6:GG6))</f>
        <v/>
      </c>
      <c r="R55" s="19">
        <f>IF(P55&lt;2,"",STDEV('A_Replicates_INCL'!GG6:GG6))</f>
        <v/>
      </c>
      <c r="S55" s="19">
        <f>IF(OR(P55=0,E55=0),"",Q55-F55)</f>
        <v/>
      </c>
      <c r="T55" s="22">
        <f>COUNT('A_Replicates_EXC'!AY6:AY6)</f>
        <v/>
      </c>
      <c r="U55" s="19">
        <f>IF(T55=0,"",AVERAGE('A_Replicates_EXC'!AY6:AY6))</f>
        <v/>
      </c>
      <c r="V55" s="22">
        <f>COUNTIF('A_Replicates_INCL'!JK6:JK6,"torque 하한 밖 참고값")+COUNTIF('A_Replicates_INCL'!JK6:JK6,"torque 범위 밖 참고값")</f>
        <v/>
      </c>
      <c r="W55" s="22">
        <f>COUNTIF('A_Replicates_INCL'!JK6:JK6,"torque 상한 밖 참고값")+COUNTIF('A_Replicates_INCL'!JK6:JK6,"torque 범위 밖 참고값")</f>
        <v/>
      </c>
      <c r="X55">
        <f>IF(P55=0,"",MIN('A_Replicates_INCL'!GG6:GG6))</f>
        <v/>
      </c>
      <c r="Y55">
        <f>IF(P55=0,"",MAX('A_Replicates_INCL'!GG6:GG6))</f>
        <v/>
      </c>
      <c r="Z55">
        <f>IF(P55=0,"",Y55-X55)</f>
        <v/>
      </c>
    </row>
    <row r="56">
      <c r="B56" t="inlineStr">
        <is>
          <t>B_ETA_BRK</t>
        </is>
      </c>
      <c r="C56" t="inlineStr">
        <is>
          <t>B</t>
        </is>
      </c>
      <c r="D56" t="inlineStr">
        <is>
          <t>T3</t>
        </is>
      </c>
      <c r="E56" t="n">
        <v>0</v>
      </c>
      <c r="F56" s="21">
        <f>""</f>
        <v/>
      </c>
      <c r="G56" s="21">
        <f>""</f>
        <v/>
      </c>
      <c r="H56" s="19">
        <f>""</f>
        <v/>
      </c>
      <c r="I56" s="21">
        <f>""</f>
        <v/>
      </c>
      <c r="J56" s="21">
        <f>""</f>
        <v/>
      </c>
      <c r="K56" s="21">
        <f>""</f>
        <v/>
      </c>
      <c r="L56" s="21">
        <f>""</f>
        <v/>
      </c>
      <c r="M56" s="22">
        <f>""</f>
        <v/>
      </c>
      <c r="N56" s="22">
        <f>""</f>
        <v/>
      </c>
      <c r="O56" t="inlineStr">
        <is>
          <t>반복 데이터 없음</t>
        </is>
      </c>
      <c r="P56" s="22" t="n">
        <v>0</v>
      </c>
      <c r="Q56" s="21">
        <f>""</f>
        <v/>
      </c>
      <c r="R56" s="21">
        <f>""</f>
        <v/>
      </c>
      <c r="S56" s="21">
        <f>""</f>
        <v/>
      </c>
      <c r="T56" s="22" t="n">
        <v>0</v>
      </c>
      <c r="U56" s="21">
        <f>""</f>
        <v/>
      </c>
      <c r="V56" s="22">
        <f>""</f>
        <v/>
      </c>
      <c r="W56" s="22">
        <f>""</f>
        <v/>
      </c>
    </row>
    <row r="57">
      <c r="B57" t="inlineStr">
        <is>
          <t>B_R10</t>
        </is>
      </c>
      <c r="C57" t="inlineStr">
        <is>
          <t>B</t>
        </is>
      </c>
      <c r="D57" t="inlineStr">
        <is>
          <t>T3</t>
        </is>
      </c>
      <c r="E57" t="n">
        <v>0</v>
      </c>
      <c r="F57" s="19">
        <f>""</f>
        <v/>
      </c>
      <c r="G57" s="19">
        <f>""</f>
        <v/>
      </c>
      <c r="H57" s="19">
        <f>""</f>
        <v/>
      </c>
      <c r="I57" s="19">
        <f>""</f>
        <v/>
      </c>
      <c r="J57" s="19">
        <f>""</f>
        <v/>
      </c>
      <c r="K57" s="19">
        <f>""</f>
        <v/>
      </c>
      <c r="L57" s="19">
        <f>""</f>
        <v/>
      </c>
      <c r="M57" s="22">
        <f>""</f>
        <v/>
      </c>
      <c r="N57" s="22">
        <f>""</f>
        <v/>
      </c>
      <c r="O57" t="inlineStr">
        <is>
          <t>반복 데이터 없음</t>
        </is>
      </c>
      <c r="P57" s="22" t="n">
        <v>0</v>
      </c>
      <c r="Q57" s="19">
        <f>""</f>
        <v/>
      </c>
      <c r="R57" s="19">
        <f>""</f>
        <v/>
      </c>
      <c r="S57" s="19">
        <f>""</f>
        <v/>
      </c>
      <c r="T57" s="22" t="n">
        <v>0</v>
      </c>
      <c r="U57" s="19">
        <f>""</f>
        <v/>
      </c>
      <c r="V57" s="22">
        <f>""</f>
        <v/>
      </c>
      <c r="W57" s="22">
        <f>""</f>
        <v/>
      </c>
    </row>
    <row r="58">
      <c r="B58" t="inlineStr">
        <is>
          <t>B_R900</t>
        </is>
      </c>
      <c r="C58" t="inlineStr">
        <is>
          <t>B</t>
        </is>
      </c>
      <c r="D58" t="inlineStr">
        <is>
          <t>T3</t>
        </is>
      </c>
      <c r="E58" t="n">
        <v>0</v>
      </c>
      <c r="F58" s="19">
        <f>""</f>
        <v/>
      </c>
      <c r="G58" s="19">
        <f>""</f>
        <v/>
      </c>
      <c r="H58" s="19">
        <f>""</f>
        <v/>
      </c>
      <c r="I58" s="19">
        <f>""</f>
        <v/>
      </c>
      <c r="J58" s="19">
        <f>""</f>
        <v/>
      </c>
      <c r="K58" s="19">
        <f>""</f>
        <v/>
      </c>
      <c r="L58" s="19">
        <f>""</f>
        <v/>
      </c>
      <c r="M58" s="22">
        <f>""</f>
        <v/>
      </c>
      <c r="N58" s="22">
        <f>""</f>
        <v/>
      </c>
      <c r="O58" t="inlineStr">
        <is>
          <t>반복 데이터 없음</t>
        </is>
      </c>
      <c r="P58" s="22" t="n">
        <v>0</v>
      </c>
      <c r="Q58" s="19">
        <f>""</f>
        <v/>
      </c>
      <c r="R58" s="19">
        <f>""</f>
        <v/>
      </c>
      <c r="S58" s="19">
        <f>""</f>
        <v/>
      </c>
      <c r="T58" s="22" t="n">
        <v>0</v>
      </c>
      <c r="U58" s="19">
        <f>""</f>
        <v/>
      </c>
      <c r="V58" s="22">
        <f>""</f>
        <v/>
      </c>
      <c r="W58" s="22">
        <f>""</f>
        <v/>
      </c>
    </row>
    <row r="59">
      <c r="B59" t="inlineStr">
        <is>
          <t>A_TQ_L</t>
        </is>
      </c>
      <c r="C59" t="inlineStr">
        <is>
          <t>A</t>
        </is>
      </c>
      <c r="D59" t="inlineStr">
        <is>
          <t>DQ</t>
        </is>
      </c>
      <c r="E59">
        <f>COUNT('A_Replicates'!GJ6:GJ6)</f>
        <v/>
      </c>
      <c r="F59" s="19">
        <f>IF(E59=0,"",AVERAGE('A_Replicates'!GJ6:GJ6))</f>
        <v/>
      </c>
      <c r="G59" s="19">
        <f>IF(E59&lt;2,"",STDEV('A_Replicates'!GJ6:GJ6))</f>
        <v/>
      </c>
      <c r="H59" s="19">
        <f>IF(E59&lt;2,"",IF(G59=0,0,IF(ABS(F59)&lt;G59,"N/A(|Mean|&lt;SD)",G59/ABS(F59)*100)))</f>
        <v/>
      </c>
      <c r="I59" s="19">
        <f>IF(E59=0,"",MIN('A_Replicates'!GJ6:GJ6))</f>
        <v/>
      </c>
      <c r="J59" s="19">
        <f>IF(E59=0,"",MAX('A_Replicates'!GJ6:GJ6))</f>
        <v/>
      </c>
      <c r="K59" s="19">
        <f>IF(E59=0,"",J59-I59)</f>
        <v/>
      </c>
      <c r="L59" s="19">
        <f>IF(E59=0,"",SUMPRODUCT(ABS('A_Replicates'!GJ6:GJ6))/E59)</f>
        <v/>
      </c>
      <c r="M59" s="22">
        <f>IF(E59=0,"",COUNTIF('A_Replicates'!GJ6:GJ6,"&gt;0"))</f>
        <v/>
      </c>
      <c r="N59" s="22">
        <f>IF(E59=0,"",COUNTIF('A_Replicates'!GJ6:GJ6,"&lt;0"))</f>
        <v/>
      </c>
      <c r="O59" t="inlineStr">
        <is>
          <t>'A_Replicates'!GJ6:GJ6</t>
        </is>
      </c>
      <c r="P59" s="22">
        <f>COUNT('A_Replicates_INCL'!GJ6:GJ6)</f>
        <v/>
      </c>
      <c r="Q59" s="19">
        <f>IF(P59=0,"",AVERAGE('A_Replicates_INCL'!GJ6:GJ6))</f>
        <v/>
      </c>
      <c r="R59" s="19">
        <f>IF(P59&lt;2,"",STDEV('A_Replicates_INCL'!GJ6:GJ6))</f>
        <v/>
      </c>
      <c r="S59" s="19">
        <f>IF(OR(P59=0,E59=0),"",Q59-F59)</f>
        <v/>
      </c>
      <c r="T59" s="22">
        <f>COUNT('A_Replicates_EXC'!AZ6:AZ6)</f>
        <v/>
      </c>
      <c r="U59" s="19">
        <f>IF(T59=0,"",AVERAGE('A_Replicates_EXC'!AZ6:AZ6))</f>
        <v/>
      </c>
      <c r="V59" s="22">
        <f>COUNTIF('A_Replicates_INCL'!JL6:JL6,"torque 하한 밖 참고값")+COUNTIF('A_Replicates_INCL'!JL6:JL6,"torque 범위 밖 참고값")</f>
        <v/>
      </c>
      <c r="W59" s="22">
        <f>COUNTIF('A_Replicates_INCL'!JL6:JL6,"torque 상한 밖 참고값")+COUNTIF('A_Replicates_INCL'!JL6:JL6,"torque 범위 밖 참고값")</f>
        <v/>
      </c>
      <c r="X59">
        <f>IF(P59=0,"",MIN('A_Replicates_INCL'!GJ6:GJ6))</f>
        <v/>
      </c>
      <c r="Y59">
        <f>IF(P59=0,"",MAX('A_Replicates_INCL'!GJ6:GJ6))</f>
        <v/>
      </c>
      <c r="Z59">
        <f>IF(P59=0,"",Y59-X59)</f>
        <v/>
      </c>
    </row>
    <row r="60">
      <c r="B60" t="inlineStr">
        <is>
          <t>A_RES_L</t>
        </is>
      </c>
      <c r="C60" t="inlineStr">
        <is>
          <t>A</t>
        </is>
      </c>
      <c r="D60" t="inlineStr">
        <is>
          <t>DQ</t>
        </is>
      </c>
      <c r="E60">
        <f>COUNT('A_Replicates'!GM6:GM6)</f>
        <v/>
      </c>
      <c r="F60" s="19">
        <f>IF(E60=0,"",AVERAGE('A_Replicates'!GM6:GM6))</f>
        <v/>
      </c>
      <c r="G60" s="19">
        <f>IF(E60&lt;2,"",STDEV('A_Replicates'!GM6:GM6))</f>
        <v/>
      </c>
      <c r="H60" s="19">
        <f>IF(E60&lt;2,"",IF(G60=0,0,IF(ABS(F60)&lt;G60,"N/A(|Mean|&lt;SD)",G60/ABS(F60)*100)))</f>
        <v/>
      </c>
      <c r="I60" s="19">
        <f>IF(E60=0,"",MIN('A_Replicates'!GM6:GM6))</f>
        <v/>
      </c>
      <c r="J60" s="19">
        <f>IF(E60=0,"",MAX('A_Replicates'!GM6:GM6))</f>
        <v/>
      </c>
      <c r="K60" s="19">
        <f>IF(E60=0,"",J60-I60)</f>
        <v/>
      </c>
      <c r="L60" s="19">
        <f>IF(E60=0,"",SUMPRODUCT(ABS('A_Replicates'!GM6:GM6))/E60)</f>
        <v/>
      </c>
      <c r="M60" s="22">
        <f>IF(E60=0,"",COUNTIF('A_Replicates'!GM6:GM6,"&gt;0"))</f>
        <v/>
      </c>
      <c r="N60" s="22">
        <f>IF(E60=0,"",COUNTIF('A_Replicates'!GM6:GM6,"&lt;0"))</f>
        <v/>
      </c>
      <c r="O60" t="inlineStr">
        <is>
          <t>'A_Replicates'!GM6:GM6</t>
        </is>
      </c>
      <c r="P60" s="22">
        <f>COUNT('A_Replicates_INCL'!GM6:GM6)</f>
        <v/>
      </c>
      <c r="Q60" s="19">
        <f>IF(P60=0,"",AVERAGE('A_Replicates_INCL'!GM6:GM6))</f>
        <v/>
      </c>
      <c r="R60" s="19">
        <f>IF(P60&lt;2,"",STDEV('A_Replicates_INCL'!GM6:GM6))</f>
        <v/>
      </c>
      <c r="S60" s="19">
        <f>IF(OR(P60=0,E60=0),"",Q60-F60)</f>
        <v/>
      </c>
      <c r="T60" s="22">
        <f>COUNT('A_Replicates_EXC'!BA6:BA6)</f>
        <v/>
      </c>
      <c r="U60" s="19">
        <f>IF(T60=0,"",AVERAGE('A_Replicates_EXC'!BA6:BA6))</f>
        <v/>
      </c>
      <c r="V60" s="22">
        <f>COUNTIF('A_Replicates_INCL'!JM6:JM6,"torque 하한 밖 참고값")+COUNTIF('A_Replicates_INCL'!JM6:JM6,"torque 범위 밖 참고값")</f>
        <v/>
      </c>
      <c r="W60" s="22">
        <f>COUNTIF('A_Replicates_INCL'!JM6:JM6,"torque 상한 밖 참고값")+COUNTIF('A_Replicates_INCL'!JM6:JM6,"torque 범위 밖 참고값")</f>
        <v/>
      </c>
      <c r="X60">
        <f>IF(P60=0,"",MIN('A_Replicates_INCL'!GM6:GM6))</f>
        <v/>
      </c>
      <c r="Y60">
        <f>IF(P60=0,"",MAX('A_Replicates_INCL'!GM6:GM6))</f>
        <v/>
      </c>
      <c r="Z60">
        <f>IF(P60=0,"",Y60-X60)</f>
        <v/>
      </c>
    </row>
    <row r="61">
      <c r="B61" t="inlineStr">
        <is>
          <t>A_DUL_FLOOR</t>
        </is>
      </c>
      <c r="C61" t="inlineStr">
        <is>
          <t>A</t>
        </is>
      </c>
      <c r="D61" t="inlineStr">
        <is>
          <t>DQ</t>
        </is>
      </c>
      <c r="E61">
        <f>COUNT('A_Replicates'!GP6:GP6)</f>
        <v/>
      </c>
      <c r="F61" s="19">
        <f>IF(E61=0,"",AVERAGE('A_Replicates'!GP6:GP6))</f>
        <v/>
      </c>
      <c r="G61" s="19">
        <f>IF(E61&lt;2,"",STDEV('A_Replicates'!GP6:GP6))</f>
        <v/>
      </c>
      <c r="H61" s="19">
        <f>IF(E61&lt;2,"",IF(G61=0,0,IF(ABS(F61)&lt;G61,"N/A(|Mean|&lt;SD)",G61/ABS(F61)*100)))</f>
        <v/>
      </c>
      <c r="I61" s="19">
        <f>IF(E61=0,"",MIN('A_Replicates'!GP6:GP6))</f>
        <v/>
      </c>
      <c r="J61" s="19">
        <f>IF(E61=0,"",MAX('A_Replicates'!GP6:GP6))</f>
        <v/>
      </c>
      <c r="K61" s="19">
        <f>IF(E61=0,"",J61-I61)</f>
        <v/>
      </c>
      <c r="L61" s="19">
        <f>IF(E61=0,"",SUMPRODUCT(ABS('A_Replicates'!GP6:GP6))/E61)</f>
        <v/>
      </c>
      <c r="M61" s="22">
        <f>IF(E61=0,"",COUNTIF('A_Replicates'!GP6:GP6,"&gt;0"))</f>
        <v/>
      </c>
      <c r="N61" s="22">
        <f>IF(E61=0,"",COUNTIF('A_Replicates'!GP6:GP6,"&lt;0"))</f>
        <v/>
      </c>
      <c r="O61" t="inlineStr">
        <is>
          <t>'A_Replicates'!GP6:GP6</t>
        </is>
      </c>
      <c r="P61" s="22">
        <f>COUNT('A_Replicates_INCL'!GP6:GP6)</f>
        <v/>
      </c>
      <c r="Q61" s="19">
        <f>IF(P61=0,"",AVERAGE('A_Replicates_INCL'!GP6:GP6))</f>
        <v/>
      </c>
      <c r="R61" s="19">
        <f>IF(P61&lt;2,"",STDEV('A_Replicates_INCL'!GP6:GP6))</f>
        <v/>
      </c>
      <c r="S61" s="19">
        <f>IF(OR(P61=0,E61=0),"",Q61-F61)</f>
        <v/>
      </c>
      <c r="T61" s="22">
        <f>COUNT('A_Replicates_EXC'!BB6:BB6)</f>
        <v/>
      </c>
      <c r="U61" s="19">
        <f>IF(T61=0,"",AVERAGE('A_Replicates_EXC'!BB6:BB6))</f>
        <v/>
      </c>
      <c r="V61" s="22">
        <f>COUNTIF('A_Replicates_INCL'!JN6:JN6,"torque 하한 밖 참고값")+COUNTIF('A_Replicates_INCL'!JN6:JN6,"torque 범위 밖 참고값")</f>
        <v/>
      </c>
      <c r="W61" s="22">
        <f>COUNTIF('A_Replicates_INCL'!JN6:JN6,"torque 상한 밖 참고값")+COUNTIF('A_Replicates_INCL'!JN6:JN6,"torque 범위 밖 참고값")</f>
        <v/>
      </c>
      <c r="X61">
        <f>IF(P61=0,"",MIN('A_Replicates_INCL'!GP6:GP6))</f>
        <v/>
      </c>
      <c r="Y61">
        <f>IF(P61=0,"",MAX('A_Replicates_INCL'!GP6:GP6))</f>
        <v/>
      </c>
      <c r="Z61">
        <f>IF(P61=0,"",Y61-X61)</f>
        <v/>
      </c>
    </row>
    <row r="62">
      <c r="B62" t="inlineStr">
        <is>
          <t>A_EQ_DRIFT_MAX</t>
        </is>
      </c>
      <c r="C62" t="inlineStr">
        <is>
          <t>A</t>
        </is>
      </c>
      <c r="D62" t="inlineStr">
        <is>
          <t>DQ</t>
        </is>
      </c>
      <c r="E62">
        <f>COUNT('A_Replicates'!GS6:GS6)</f>
        <v/>
      </c>
      <c r="F62" s="19">
        <f>IF(E62=0,"",AVERAGE('A_Replicates'!GS6:GS6))</f>
        <v/>
      </c>
      <c r="G62" s="19">
        <f>IF(E62&lt;2,"",STDEV('A_Replicates'!GS6:GS6))</f>
        <v/>
      </c>
      <c r="H62" s="19">
        <f>IF(E62&lt;2,"",IF(G62=0,0,IF(ABS(F62)&lt;G62,"N/A(|Mean|&lt;SD)",G62/ABS(F62)*100)))</f>
        <v/>
      </c>
      <c r="I62" s="19">
        <f>IF(E62=0,"",MIN('A_Replicates'!GS6:GS6))</f>
        <v/>
      </c>
      <c r="J62" s="19">
        <f>IF(E62=0,"",MAX('A_Replicates'!GS6:GS6))</f>
        <v/>
      </c>
      <c r="K62" s="19">
        <f>IF(E62=0,"",J62-I62)</f>
        <v/>
      </c>
      <c r="L62" s="19">
        <f>IF(E62=0,"",SUMPRODUCT(ABS('A_Replicates'!GS6:GS6))/E62)</f>
        <v/>
      </c>
      <c r="M62" s="22">
        <f>IF(E62=0,"",COUNTIF('A_Replicates'!GS6:GS6,"&gt;0"))</f>
        <v/>
      </c>
      <c r="N62" s="22">
        <f>IF(E62=0,"",COUNTIF('A_Replicates'!GS6:GS6,"&lt;0"))</f>
        <v/>
      </c>
      <c r="O62" t="inlineStr">
        <is>
          <t>'A_Replicates'!GS6:GS6</t>
        </is>
      </c>
      <c r="P62" s="22">
        <f>COUNT('A_Replicates_INCL'!GS6:GS6)</f>
        <v/>
      </c>
      <c r="Q62" s="19">
        <f>IF(P62=0,"",AVERAGE('A_Replicates_INCL'!GS6:GS6))</f>
        <v/>
      </c>
      <c r="R62" s="19">
        <f>IF(P62&lt;2,"",STDEV('A_Replicates_INCL'!GS6:GS6))</f>
        <v/>
      </c>
      <c r="S62" s="19">
        <f>IF(OR(P62=0,E62=0),"",Q62-F62)</f>
        <v/>
      </c>
      <c r="T62" s="22">
        <f>COUNT('A_Replicates_EXC'!BC6:BC6)</f>
        <v/>
      </c>
      <c r="U62" s="19">
        <f>IF(T62=0,"",AVERAGE('A_Replicates_EXC'!BC6:BC6))</f>
        <v/>
      </c>
      <c r="V62" s="22">
        <f>COUNTIF('A_Replicates_INCL'!JO6:JO6,"torque 하한 밖 참고값")+COUNTIF('A_Replicates_INCL'!JO6:JO6,"torque 범위 밖 참고값")</f>
        <v/>
      </c>
      <c r="W62" s="22">
        <f>COUNTIF('A_Replicates_INCL'!JO6:JO6,"torque 상한 밖 참고값")+COUNTIF('A_Replicates_INCL'!JO6:JO6,"torque 범위 밖 참고값")</f>
        <v/>
      </c>
      <c r="X62">
        <f>IF(P62=0,"",MIN('A_Replicates_INCL'!GS6:GS6))</f>
        <v/>
      </c>
      <c r="Y62">
        <f>IF(P62=0,"",MAX('A_Replicates_INCL'!GS6:GS6))</f>
        <v/>
      </c>
      <c r="Z62">
        <f>IF(P62=0,"",Y62-X62)</f>
        <v/>
      </c>
    </row>
    <row r="63">
      <c r="B63" t="inlineStr">
        <is>
          <t>A_TEMP_MEAN</t>
        </is>
      </c>
      <c r="C63" t="inlineStr">
        <is>
          <t>A</t>
        </is>
      </c>
      <c r="D63" t="inlineStr">
        <is>
          <t>DQ</t>
        </is>
      </c>
      <c r="E63">
        <f>COUNT('A_Replicates'!GV6:GV6)</f>
        <v/>
      </c>
      <c r="F63" s="19">
        <f>IF(E63=0,"",AVERAGE('A_Replicates'!GV6:GV6))</f>
        <v/>
      </c>
      <c r="G63" s="19">
        <f>IF(E63&lt;2,"",STDEV('A_Replicates'!GV6:GV6))</f>
        <v/>
      </c>
      <c r="H63" s="19">
        <f>IF(E63&lt;2,"",IF(G63=0,0,IF(ABS(F63)&lt;G63,"N/A(|Mean|&lt;SD)",G63/ABS(F63)*100)))</f>
        <v/>
      </c>
      <c r="I63" s="19">
        <f>IF(E63=0,"",MIN('A_Replicates'!GV6:GV6))</f>
        <v/>
      </c>
      <c r="J63" s="19">
        <f>IF(E63=0,"",MAX('A_Replicates'!GV6:GV6))</f>
        <v/>
      </c>
      <c r="K63" s="19">
        <f>IF(E63=0,"",J63-I63)</f>
        <v/>
      </c>
      <c r="L63" s="19">
        <f>IF(E63=0,"",SUMPRODUCT(ABS('A_Replicates'!GV6:GV6))/E63)</f>
        <v/>
      </c>
      <c r="M63" s="22">
        <f>IF(E63=0,"",COUNTIF('A_Replicates'!GV6:GV6,"&gt;0"))</f>
        <v/>
      </c>
      <c r="N63" s="22">
        <f>IF(E63=0,"",COUNTIF('A_Replicates'!GV6:GV6,"&lt;0"))</f>
        <v/>
      </c>
      <c r="O63" t="inlineStr">
        <is>
          <t>'A_Replicates'!GV6:GV6</t>
        </is>
      </c>
      <c r="P63" s="22">
        <f>COUNT('A_Replicates_INCL'!GV6:GV6)</f>
        <v/>
      </c>
      <c r="Q63" s="19">
        <f>IF(P63=0,"",AVERAGE('A_Replicates_INCL'!GV6:GV6))</f>
        <v/>
      </c>
      <c r="R63" s="19">
        <f>IF(P63&lt;2,"",STDEV('A_Replicates_INCL'!GV6:GV6))</f>
        <v/>
      </c>
      <c r="S63" s="19">
        <f>IF(OR(P63=0,E63=0),"",Q63-F63)</f>
        <v/>
      </c>
      <c r="T63" s="22">
        <f>COUNT('A_Replicates_EXC'!BD6:BD6)</f>
        <v/>
      </c>
      <c r="U63" s="19">
        <f>IF(T63=0,"",AVERAGE('A_Replicates_EXC'!BD6:BD6))</f>
        <v/>
      </c>
      <c r="V63" s="22">
        <f>COUNTIF('A_Replicates_INCL'!JP6:JP6,"torque 하한 밖 참고값")+COUNTIF('A_Replicates_INCL'!JP6:JP6,"torque 범위 밖 참고값")</f>
        <v/>
      </c>
      <c r="W63" s="22">
        <f>COUNTIF('A_Replicates_INCL'!JP6:JP6,"torque 상한 밖 참고값")+COUNTIF('A_Replicates_INCL'!JP6:JP6,"torque 범위 밖 참고값")</f>
        <v/>
      </c>
      <c r="X63">
        <f>IF(P63=0,"",MIN('A_Replicates_INCL'!GV6:GV6))</f>
        <v/>
      </c>
      <c r="Y63">
        <f>IF(P63=0,"",MAX('A_Replicates_INCL'!GV6:GV6))</f>
        <v/>
      </c>
      <c r="Z63">
        <f>IF(P63=0,"",Y63-X63)</f>
        <v/>
      </c>
    </row>
    <row r="64">
      <c r="B64" t="inlineStr">
        <is>
          <t>A_TEMP_SPAN</t>
        </is>
      </c>
      <c r="C64" t="inlineStr">
        <is>
          <t>A</t>
        </is>
      </c>
      <c r="D64" t="inlineStr">
        <is>
          <t>DQ</t>
        </is>
      </c>
      <c r="E64">
        <f>COUNT('A_Replicates'!GY6:GY6)</f>
        <v/>
      </c>
      <c r="F64" s="19">
        <f>IF(E64=0,"",AVERAGE('A_Replicates'!GY6:GY6))</f>
        <v/>
      </c>
      <c r="G64" s="19">
        <f>IF(E64&lt;2,"",STDEV('A_Replicates'!GY6:GY6))</f>
        <v/>
      </c>
      <c r="H64" s="19">
        <f>IF(E64&lt;2,"",IF(G64=0,0,IF(ABS(F64)&lt;G64,"N/A(|Mean|&lt;SD)",G64/ABS(F64)*100)))</f>
        <v/>
      </c>
      <c r="I64" s="19">
        <f>IF(E64=0,"",MIN('A_Replicates'!GY6:GY6))</f>
        <v/>
      </c>
      <c r="J64" s="19">
        <f>IF(E64=0,"",MAX('A_Replicates'!GY6:GY6))</f>
        <v/>
      </c>
      <c r="K64" s="19">
        <f>IF(E64=0,"",J64-I64)</f>
        <v/>
      </c>
      <c r="L64" s="19">
        <f>IF(E64=0,"",SUMPRODUCT(ABS('A_Replicates'!GY6:GY6))/E64)</f>
        <v/>
      </c>
      <c r="M64" s="22">
        <f>IF(E64=0,"",COUNTIF('A_Replicates'!GY6:GY6,"&gt;0"))</f>
        <v/>
      </c>
      <c r="N64" s="22">
        <f>IF(E64=0,"",COUNTIF('A_Replicates'!GY6:GY6,"&lt;0"))</f>
        <v/>
      </c>
      <c r="O64" t="inlineStr">
        <is>
          <t>'A_Replicates'!GY6:GY6</t>
        </is>
      </c>
      <c r="P64" s="22">
        <f>COUNT('A_Replicates_INCL'!GY6:GY6)</f>
        <v/>
      </c>
      <c r="Q64" s="19">
        <f>IF(P64=0,"",AVERAGE('A_Replicates_INCL'!GY6:GY6))</f>
        <v/>
      </c>
      <c r="R64" s="19">
        <f>IF(P64&lt;2,"",STDEV('A_Replicates_INCL'!GY6:GY6))</f>
        <v/>
      </c>
      <c r="S64" s="19">
        <f>IF(OR(P64=0,E64=0),"",Q64-F64)</f>
        <v/>
      </c>
      <c r="T64" s="22">
        <f>COUNT('A_Replicates_EXC'!BE6:BE6)</f>
        <v/>
      </c>
      <c r="U64" s="19">
        <f>IF(T64=0,"",AVERAGE('A_Replicates_EXC'!BE6:BE6))</f>
        <v/>
      </c>
      <c r="V64" s="22">
        <f>COUNTIF('A_Replicates_INCL'!JQ6:JQ6,"torque 하한 밖 참고값")+COUNTIF('A_Replicates_INCL'!JQ6:JQ6,"torque 범위 밖 참고값")</f>
        <v/>
      </c>
      <c r="W64" s="22">
        <f>COUNTIF('A_Replicates_INCL'!JQ6:JQ6,"torque 상한 밖 참고값")+COUNTIF('A_Replicates_INCL'!JQ6:JQ6,"torque 범위 밖 참고값")</f>
        <v/>
      </c>
      <c r="X64">
        <f>IF(P64=0,"",MIN('A_Replicates_INCL'!GY6:GY6))</f>
        <v/>
      </c>
      <c r="Y64">
        <f>IF(P64=0,"",MAX('A_Replicates_INCL'!GY6:GY6))</f>
        <v/>
      </c>
      <c r="Z64">
        <f>IF(P64=0,"",Y64-X64)</f>
        <v/>
      </c>
    </row>
    <row r="65">
      <c r="B65" t="inlineStr">
        <is>
          <t>A_N_QUANT</t>
        </is>
      </c>
      <c r="C65" t="inlineStr">
        <is>
          <t>A</t>
        </is>
      </c>
      <c r="D65" t="inlineStr">
        <is>
          <t>DQ</t>
        </is>
      </c>
      <c r="E65">
        <f>COUNT('A_Replicates'!HB6:HB6)</f>
        <v/>
      </c>
      <c r="F65" s="22">
        <f>IF(E65=0,"",AVERAGE('A_Replicates'!HB6:HB6))</f>
        <v/>
      </c>
      <c r="G65" s="22">
        <f>IF(E65&lt;2,"",STDEV('A_Replicates'!HB6:HB6))</f>
        <v/>
      </c>
      <c r="H65" s="19">
        <f>IF(E65&lt;2,"",IF(G65=0,0,IF(ABS(F65)&lt;G65,"N/A(|Mean|&lt;SD)",G65/ABS(F65)*100)))</f>
        <v/>
      </c>
      <c r="I65" s="22">
        <f>IF(E65=0,"",MIN('A_Replicates'!HB6:HB6))</f>
        <v/>
      </c>
      <c r="J65" s="22">
        <f>IF(E65=0,"",MAX('A_Replicates'!HB6:HB6))</f>
        <v/>
      </c>
      <c r="K65" s="22">
        <f>IF(E65=0,"",J65-I65)</f>
        <v/>
      </c>
      <c r="L65" s="22">
        <f>IF(E65=0,"",SUMPRODUCT(ABS('A_Replicates'!HB6:HB6))/E65)</f>
        <v/>
      </c>
      <c r="M65" s="22">
        <f>IF(E65=0,"",COUNTIF('A_Replicates'!HB6:HB6,"&gt;0"))</f>
        <v/>
      </c>
      <c r="N65" s="22">
        <f>IF(E65=0,"",COUNTIF('A_Replicates'!HB6:HB6,"&lt;0"))</f>
        <v/>
      </c>
      <c r="O65" t="inlineStr">
        <is>
          <t>'A_Replicates'!HB6:HB6</t>
        </is>
      </c>
      <c r="P65" s="22">
        <f>COUNT('A_Replicates_INCL'!HB6:HB6)</f>
        <v/>
      </c>
      <c r="Q65" s="22">
        <f>IF(P65=0,"",AVERAGE('A_Replicates_INCL'!HB6:HB6))</f>
        <v/>
      </c>
      <c r="R65" s="22">
        <f>IF(P65&lt;2,"",STDEV('A_Replicates_INCL'!HB6:HB6))</f>
        <v/>
      </c>
      <c r="S65" s="22">
        <f>IF(OR(P65=0,E65=0),"",Q65-F65)</f>
        <v/>
      </c>
      <c r="T65" s="22">
        <f>COUNT('A_Replicates_EXC'!BF6:BF6)</f>
        <v/>
      </c>
      <c r="U65" s="22">
        <f>IF(T65=0,"",AVERAGE('A_Replicates_EXC'!BF6:BF6))</f>
        <v/>
      </c>
      <c r="V65" s="22">
        <f>COUNTIF('A_Replicates_INCL'!JR6:JR6,"torque 하한 밖 참고값")+COUNTIF('A_Replicates_INCL'!JR6:JR6,"torque 범위 밖 참고값")</f>
        <v/>
      </c>
      <c r="W65" s="22">
        <f>COUNTIF('A_Replicates_INCL'!JR6:JR6,"torque 상한 밖 참고값")+COUNTIF('A_Replicates_INCL'!JR6:JR6,"torque 범위 밖 참고값")</f>
        <v/>
      </c>
      <c r="X65">
        <f>IF(P65=0,"",MIN('A_Replicates_INCL'!HB6:HB6))</f>
        <v/>
      </c>
      <c r="Y65">
        <f>IF(P65=0,"",MAX('A_Replicates_INCL'!HB6:HB6))</f>
        <v/>
      </c>
      <c r="Z65">
        <f>IF(P65=0,"",Y65-X65)</f>
        <v/>
      </c>
    </row>
    <row r="66">
      <c r="B66" t="inlineStr">
        <is>
          <t>D_TEMP</t>
        </is>
      </c>
      <c r="C66" t="inlineStr">
        <is>
          <t>D</t>
        </is>
      </c>
      <c r="D66" t="inlineStr">
        <is>
          <t>DQ</t>
        </is>
      </c>
      <c r="E66" t="n">
        <v>0</v>
      </c>
      <c r="F66" s="19">
        <f>""</f>
        <v/>
      </c>
      <c r="G66" s="19">
        <f>""</f>
        <v/>
      </c>
      <c r="H66" s="19">
        <f>""</f>
        <v/>
      </c>
      <c r="I66" s="19">
        <f>""</f>
        <v/>
      </c>
      <c r="J66" s="19">
        <f>""</f>
        <v/>
      </c>
      <c r="K66" s="19">
        <f>""</f>
        <v/>
      </c>
      <c r="L66" s="19">
        <f>""</f>
        <v/>
      </c>
      <c r="M66" s="22">
        <f>""</f>
        <v/>
      </c>
      <c r="N66" s="22">
        <f>""</f>
        <v/>
      </c>
      <c r="O66" t="inlineStr">
        <is>
          <t>반복 데이터 없음</t>
        </is>
      </c>
      <c r="P66" s="22" t="n">
        <v>0</v>
      </c>
      <c r="Q66" s="19">
        <f>""</f>
        <v/>
      </c>
      <c r="R66" s="19">
        <f>""</f>
        <v/>
      </c>
      <c r="S66" s="19">
        <f>""</f>
        <v/>
      </c>
      <c r="T66" s="22" t="n">
        <v>0</v>
      </c>
      <c r="U66" s="19">
        <f>""</f>
        <v/>
      </c>
      <c r="V66" s="22">
        <f>""</f>
        <v/>
      </c>
      <c r="W66" s="22">
        <f>""</f>
        <v/>
      </c>
    </row>
    <row r="67">
      <c r="B67" t="inlineStr">
        <is>
          <t>B_TQ_BASE</t>
        </is>
      </c>
      <c r="C67" t="inlineStr">
        <is>
          <t>B</t>
        </is>
      </c>
      <c r="D67" t="inlineStr">
        <is>
          <t>DQ</t>
        </is>
      </c>
      <c r="E67" t="n">
        <v>0</v>
      </c>
      <c r="F67" s="19">
        <f>""</f>
        <v/>
      </c>
      <c r="G67" s="19">
        <f>""</f>
        <v/>
      </c>
      <c r="H67" s="19">
        <f>""</f>
        <v/>
      </c>
      <c r="I67" s="19">
        <f>""</f>
        <v/>
      </c>
      <c r="J67" s="19">
        <f>""</f>
        <v/>
      </c>
      <c r="K67" s="19">
        <f>""</f>
        <v/>
      </c>
      <c r="L67" s="19">
        <f>""</f>
        <v/>
      </c>
      <c r="M67" s="22">
        <f>""</f>
        <v/>
      </c>
      <c r="N67" s="22">
        <f>""</f>
        <v/>
      </c>
      <c r="O67" t="inlineStr">
        <is>
          <t>반복 데이터 없음</t>
        </is>
      </c>
      <c r="P67" s="22" t="n">
        <v>0</v>
      </c>
      <c r="Q67" s="19">
        <f>""</f>
        <v/>
      </c>
      <c r="R67" s="19">
        <f>""</f>
        <v/>
      </c>
      <c r="S67" s="19">
        <f>""</f>
        <v/>
      </c>
      <c r="T67" s="22" t="n">
        <v>0</v>
      </c>
      <c r="U67" s="19">
        <f>""</f>
        <v/>
      </c>
      <c r="V67" s="22">
        <f>""</f>
        <v/>
      </c>
      <c r="W67" s="22">
        <f>""</f>
        <v/>
      </c>
    </row>
    <row r="68">
      <c r="B68" t="inlineStr">
        <is>
          <t>B_REC_FLOOR</t>
        </is>
      </c>
      <c r="C68" t="inlineStr">
        <is>
          <t>B</t>
        </is>
      </c>
      <c r="D68" t="inlineStr">
        <is>
          <t>DQ</t>
        </is>
      </c>
      <c r="E68" t="n">
        <v>0</v>
      </c>
      <c r="F68" s="19">
        <f>""</f>
        <v/>
      </c>
      <c r="G68" s="19">
        <f>""</f>
        <v/>
      </c>
      <c r="H68" s="19">
        <f>""</f>
        <v/>
      </c>
      <c r="I68" s="19">
        <f>""</f>
        <v/>
      </c>
      <c r="J68" s="19">
        <f>""</f>
        <v/>
      </c>
      <c r="K68" s="19">
        <f>""</f>
        <v/>
      </c>
      <c r="L68" s="19">
        <f>""</f>
        <v/>
      </c>
      <c r="M68" s="22">
        <f>""</f>
        <v/>
      </c>
      <c r="N68" s="22">
        <f>""</f>
        <v/>
      </c>
      <c r="O68" t="inlineStr">
        <is>
          <t>반복 데이터 없음</t>
        </is>
      </c>
      <c r="P68" s="22" t="n">
        <v>0</v>
      </c>
      <c r="Q68" s="19">
        <f>""</f>
        <v/>
      </c>
      <c r="R68" s="19">
        <f>""</f>
        <v/>
      </c>
      <c r="S68" s="19">
        <f>""</f>
        <v/>
      </c>
      <c r="T68" s="22" t="n">
        <v>0</v>
      </c>
      <c r="U68" s="19">
        <f>""</f>
        <v/>
      </c>
      <c r="V68" s="22">
        <f>""</f>
        <v/>
      </c>
      <c r="W68" s="22">
        <f>""</f>
        <v/>
      </c>
    </row>
    <row r="69">
      <c r="B69" t="inlineStr">
        <is>
          <t>B_REC_VALID</t>
        </is>
      </c>
      <c r="C69" t="inlineStr">
        <is>
          <t>B</t>
        </is>
      </c>
      <c r="D69" t="inlineStr">
        <is>
          <t>DQ</t>
        </is>
      </c>
      <c r="E69" t="n">
        <v>0</v>
      </c>
      <c r="F69" s="19">
        <f>""</f>
        <v/>
      </c>
      <c r="G69" s="19">
        <f>""</f>
        <v/>
      </c>
      <c r="H69" s="19">
        <f>""</f>
        <v/>
      </c>
      <c r="I69" s="19">
        <f>""</f>
        <v/>
      </c>
      <c r="J69" s="19">
        <f>""</f>
        <v/>
      </c>
      <c r="K69" s="19">
        <f>""</f>
        <v/>
      </c>
      <c r="L69" s="19">
        <f>""</f>
        <v/>
      </c>
      <c r="M69" s="22">
        <f>""</f>
        <v/>
      </c>
      <c r="N69" s="22">
        <f>""</f>
        <v/>
      </c>
      <c r="O69" t="inlineStr">
        <is>
          <t>반복 데이터 없음</t>
        </is>
      </c>
      <c r="P69" s="22" t="n">
        <v>0</v>
      </c>
      <c r="Q69" s="19">
        <f>""</f>
        <v/>
      </c>
      <c r="R69" s="19">
        <f>""</f>
        <v/>
      </c>
      <c r="S69" s="19">
        <f>""</f>
        <v/>
      </c>
      <c r="T69" s="22" t="n">
        <v>0</v>
      </c>
      <c r="U69" s="19">
        <f>""</f>
        <v/>
      </c>
      <c r="V69" s="22">
        <f>""</f>
        <v/>
      </c>
      <c r="W69" s="22">
        <f>""</f>
        <v/>
      </c>
    </row>
  </sheetData>
  <mergeCells count="2">
    <mergeCell ref="B3:Z3"/>
    <mergeCell ref="B2:Z2"/>
  </mergeCells>
  <hyperlinks>
    <hyperlink ref="B1" location="'Lot_QC_Summary'!B2"/>
    <hyperlink ref="C1" location="'QC_Dictionary'!B2"/>
    <hyperlink ref="D1" location="'A_Replicates'!B2"/>
    <hyperlink ref="E1" location="'B_Replicates'!B2"/>
    <hyperlink ref="F1" location="'Density_Replicates'!B2"/>
    <hyperlink ref="G1" location="'A_Replicates_INCL'!B2"/>
    <hyperlink ref="H1" location="'A_Replicates_EXC'!B2"/>
    <hyperlink ref="I1" location="'Metric_Statistics'!B2"/>
    <hyperlink ref="J1" location="'A_Step_Replicates'!B2"/>
    <hyperlink ref="K1" location="'A_Step_Statistics'!B2"/>
    <hyperlink ref="L1" location="'Replicate_Flags'!B2"/>
    <hyperlink ref="M1" location="'Traceability'!B2"/>
  </hyperlink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Q15"/>
  <sheetViews>
    <sheetView showGridLines="0" workbookViewId="0">
      <pane xSplit="2" ySplit="5" topLeftCell="C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22" customWidth="1" min="17" max="17"/>
  </cols>
  <sheetData>
    <row r="1">
      <c r="B1" s="1" t="inlineStr">
        <is>
          <t>Lot_QC_Summary</t>
        </is>
      </c>
      <c r="C1" s="1" t="inlineStr">
        <is>
          <t>QC_Dictionary</t>
        </is>
      </c>
      <c r="D1" s="1" t="inlineStr">
        <is>
          <t>A_Replicates</t>
        </is>
      </c>
      <c r="E1" s="1" t="inlineStr">
        <is>
          <t>B_Replicates</t>
        </is>
      </c>
      <c r="F1" s="1" t="inlineStr">
        <is>
          <t>Density_Replicates</t>
        </is>
      </c>
      <c r="G1" s="1" t="inlineStr">
        <is>
          <t>A_Replicates_INCL</t>
        </is>
      </c>
      <c r="H1" s="1" t="inlineStr">
        <is>
          <t>A_Replicates_EXC</t>
        </is>
      </c>
      <c r="I1" s="1" t="inlineStr">
        <is>
          <t>Metric_Statistics</t>
        </is>
      </c>
      <c r="J1" s="1" t="inlineStr">
        <is>
          <t>A_Step_Replicates</t>
        </is>
      </c>
      <c r="K1" s="1" t="inlineStr">
        <is>
          <t>A_Step_Statistics</t>
        </is>
      </c>
      <c r="L1" s="1" t="inlineStr">
        <is>
          <t>Replicate_Flags</t>
        </is>
      </c>
      <c r="M1" s="1" t="inlineStr">
        <is>
          <t>Traceability</t>
        </is>
      </c>
    </row>
    <row r="2" ht="28" customHeight="1">
      <c r="B2" s="2" t="inlineStr">
        <is>
          <t>A_Step_Replicates — STRICT 채널 Step 대표값·준평형·분해능</t>
        </is>
      </c>
    </row>
    <row r="3" ht="30" customHeight="1">
      <c r="B3" s="3" t="inlineStr">
        <is>
          <t>STRICT(60 s·Torque 10–95%) 기준 대표값입니다. used는 STRICT 정량 사용 여부이며, 승인 short-hold의 inclusive 사용 여부는 StepAudit 및 A_Replicates_INCL을 참조합니다. tail_drift_pct=후반 10초 선형 드리프트, resolution_pct=Torque 0.1% 표시 단위의 상대 크기.</t>
        </is>
      </c>
    </row>
    <row r="5" ht="28" customHeight="1">
      <c r="B5" s="8" t="inlineStr">
        <is>
          <t>repeat</t>
        </is>
      </c>
      <c r="C5" s="8" t="inlineStr">
        <is>
          <t>Step</t>
        </is>
      </c>
      <c r="D5" s="8" t="inlineStr">
        <is>
          <t>dir</t>
        </is>
      </c>
      <c r="E5" s="8" t="inlineStr">
        <is>
          <t>RPM</t>
        </is>
      </c>
      <c r="F5" s="8" t="inlineStr">
        <is>
          <t>gamma</t>
        </is>
      </c>
      <c r="G5" s="8" t="inlineStr">
        <is>
          <t>hold_s</t>
        </is>
      </c>
      <c r="H5" s="8" t="inlineStr">
        <is>
          <t>used</t>
        </is>
      </c>
      <c r="I5" s="8" t="inlineStr">
        <is>
          <t>exception</t>
        </is>
      </c>
      <c r="J5" s="8" t="inlineStr">
        <is>
          <t>tau_Pa</t>
        </is>
      </c>
      <c r="K5" s="8" t="inlineStr">
        <is>
          <t>eta_cP</t>
        </is>
      </c>
      <c r="L5" s="8" t="inlineStr">
        <is>
          <t>torque_valid</t>
        </is>
      </c>
      <c r="M5" s="8" t="inlineStr">
        <is>
          <t>torque_window</t>
        </is>
      </c>
      <c r="N5" s="8" t="inlineStr">
        <is>
          <t>temp</t>
        </is>
      </c>
      <c r="O5" s="8" t="inlineStr">
        <is>
          <t>tail_drift_pct</t>
        </is>
      </c>
      <c r="P5" s="8" t="inlineStr">
        <is>
          <t>resolution_pct</t>
        </is>
      </c>
      <c r="Q5" s="8" t="inlineStr">
        <is>
          <t>status</t>
        </is>
      </c>
    </row>
    <row r="6">
      <c r="B6" t="inlineStr">
        <is>
          <t>01</t>
        </is>
      </c>
      <c r="C6" t="n">
        <v>2</v>
      </c>
      <c r="D6" t="inlineStr">
        <is>
          <t>Up</t>
        </is>
      </c>
      <c r="E6" s="19" t="n">
        <v>0.2</v>
      </c>
      <c r="F6" s="19" t="n">
        <v>0.4</v>
      </c>
      <c r="G6" s="22" t="n">
        <v>60</v>
      </c>
      <c r="H6" t="inlineStr">
        <is>
          <t>Yes</t>
        </is>
      </c>
      <c r="I6" t="inlineStr">
        <is>
          <t>No</t>
        </is>
      </c>
      <c r="J6" s="19" t="n">
        <v>200</v>
      </c>
      <c r="K6" s="21" t="n">
        <v>500000</v>
      </c>
      <c r="L6" s="19" t="n">
        <v>20</v>
      </c>
      <c r="M6" s="19" t="n">
        <v>20</v>
      </c>
      <c r="N6" s="19" t="n">
        <v>25</v>
      </c>
      <c r="O6" s="19" t="n">
        <v>3.396218997857658e-14</v>
      </c>
      <c r="P6" s="19" t="n">
        <v>0.5</v>
      </c>
      <c r="Q6" t="inlineStr">
        <is>
          <t>OK</t>
        </is>
      </c>
    </row>
    <row r="7">
      <c r="B7" t="inlineStr">
        <is>
          <t>01</t>
        </is>
      </c>
      <c r="C7" t="n">
        <v>3</v>
      </c>
      <c r="D7" t="inlineStr">
        <is>
          <t>Up</t>
        </is>
      </c>
      <c r="E7" s="19" t="n">
        <v>0.35</v>
      </c>
      <c r="F7" s="19" t="n">
        <v>0.7</v>
      </c>
      <c r="G7" s="22" t="n">
        <v>60</v>
      </c>
      <c r="H7" t="inlineStr">
        <is>
          <t>Yes</t>
        </is>
      </c>
      <c r="I7" t="inlineStr">
        <is>
          <t>No</t>
        </is>
      </c>
      <c r="J7" s="19" t="n">
        <v>200</v>
      </c>
      <c r="K7" s="21" t="n">
        <v>285714.2857</v>
      </c>
      <c r="L7" s="19" t="n">
        <v>20</v>
      </c>
      <c r="M7" s="19" t="n">
        <v>20</v>
      </c>
      <c r="N7" s="19" t="n">
        <v>25</v>
      </c>
      <c r="O7" s="19" t="n">
        <v>3.396218997857658e-14</v>
      </c>
      <c r="P7" s="19" t="n">
        <v>0.5</v>
      </c>
      <c r="Q7" t="inlineStr">
        <is>
          <t>OK</t>
        </is>
      </c>
    </row>
    <row r="8">
      <c r="B8" t="inlineStr">
        <is>
          <t>01</t>
        </is>
      </c>
      <c r="C8" t="n">
        <v>4</v>
      </c>
      <c r="D8" t="inlineStr">
        <is>
          <t>Up</t>
        </is>
      </c>
      <c r="E8" s="19" t="n">
        <v>0.5</v>
      </c>
      <c r="F8" s="19" t="n">
        <v>1</v>
      </c>
      <c r="G8" s="22" t="n">
        <v>60</v>
      </c>
      <c r="H8" t="inlineStr">
        <is>
          <t>Yes</t>
        </is>
      </c>
      <c r="I8" t="inlineStr">
        <is>
          <t>No</t>
        </is>
      </c>
      <c r="J8" s="19" t="n">
        <v>200</v>
      </c>
      <c r="K8" s="21" t="n">
        <v>200000</v>
      </c>
      <c r="L8" s="19" t="n">
        <v>20</v>
      </c>
      <c r="M8" s="19" t="n">
        <v>20</v>
      </c>
      <c r="N8" s="19" t="n">
        <v>25</v>
      </c>
      <c r="O8" s="19" t="n">
        <v>3.396218997857658e-14</v>
      </c>
      <c r="P8" s="19" t="n">
        <v>0.5</v>
      </c>
      <c r="Q8" t="inlineStr">
        <is>
          <t>OK</t>
        </is>
      </c>
    </row>
    <row r="9">
      <c r="B9" t="inlineStr">
        <is>
          <t>01</t>
        </is>
      </c>
      <c r="C9" t="n">
        <v>5</v>
      </c>
      <c r="D9" t="inlineStr">
        <is>
          <t>Up</t>
        </is>
      </c>
      <c r="E9" s="19" t="n">
        <v>0.7</v>
      </c>
      <c r="F9" s="19" t="n">
        <v>1.4</v>
      </c>
      <c r="G9" s="22" t="n">
        <v>60</v>
      </c>
      <c r="H9" t="inlineStr">
        <is>
          <t>Yes</t>
        </is>
      </c>
      <c r="I9" t="inlineStr">
        <is>
          <t>No</t>
        </is>
      </c>
      <c r="J9" s="19" t="n">
        <v>200</v>
      </c>
      <c r="K9" s="21" t="n">
        <v>142857.1429</v>
      </c>
      <c r="L9" s="19" t="n">
        <v>20</v>
      </c>
      <c r="M9" s="19" t="n">
        <v>20</v>
      </c>
      <c r="N9" s="19" t="n">
        <v>25</v>
      </c>
      <c r="O9" s="19" t="n">
        <v>3.396218997857658e-14</v>
      </c>
      <c r="P9" s="19" t="n">
        <v>0.5</v>
      </c>
      <c r="Q9" t="inlineStr">
        <is>
          <t>OK</t>
        </is>
      </c>
    </row>
    <row r="10">
      <c r="B10" t="inlineStr">
        <is>
          <t>01</t>
        </is>
      </c>
      <c r="C10" t="n">
        <v>6</v>
      </c>
      <c r="D10" t="inlineStr">
        <is>
          <t>Up</t>
        </is>
      </c>
      <c r="E10" s="19" t="n">
        <v>1</v>
      </c>
      <c r="F10" s="19" t="n">
        <v>2</v>
      </c>
      <c r="G10" s="22" t="n">
        <v>60</v>
      </c>
      <c r="H10" t="inlineStr">
        <is>
          <t>Yes</t>
        </is>
      </c>
      <c r="I10" t="inlineStr">
        <is>
          <t>No</t>
        </is>
      </c>
      <c r="J10" s="19" t="n">
        <v>200</v>
      </c>
      <c r="K10" s="21" t="n">
        <v>100000</v>
      </c>
      <c r="L10" s="19" t="n">
        <v>20</v>
      </c>
      <c r="M10" s="19" t="n">
        <v>20</v>
      </c>
      <c r="N10" s="19" t="n">
        <v>25</v>
      </c>
      <c r="O10" s="19" t="n">
        <v>3.396218997857658e-14</v>
      </c>
      <c r="P10" s="19" t="n">
        <v>0.5</v>
      </c>
      <c r="Q10" t="inlineStr">
        <is>
          <t>OK</t>
        </is>
      </c>
    </row>
    <row r="11">
      <c r="B11" t="inlineStr">
        <is>
          <t>01</t>
        </is>
      </c>
      <c r="C11" t="n">
        <v>7</v>
      </c>
      <c r="D11" t="inlineStr">
        <is>
          <t>Up</t>
        </is>
      </c>
      <c r="E11" s="19" t="n">
        <v>1.5</v>
      </c>
      <c r="F11" s="19" t="n">
        <v>3</v>
      </c>
      <c r="G11" s="22" t="n">
        <v>60</v>
      </c>
      <c r="H11" t="inlineStr">
        <is>
          <t>Yes</t>
        </is>
      </c>
      <c r="I11" t="inlineStr">
        <is>
          <t>No</t>
        </is>
      </c>
      <c r="J11" s="19" t="n">
        <v>200</v>
      </c>
      <c r="K11" s="21" t="n">
        <v>66666.66669999999</v>
      </c>
      <c r="L11" s="19" t="n">
        <v>20</v>
      </c>
      <c r="M11" s="19" t="n">
        <v>20</v>
      </c>
      <c r="N11" s="19" t="n">
        <v>25</v>
      </c>
      <c r="O11" s="19" t="n">
        <v>3.396218997857658e-14</v>
      </c>
      <c r="P11" s="19" t="n">
        <v>0.5</v>
      </c>
      <c r="Q11" t="inlineStr">
        <is>
          <t>OK</t>
        </is>
      </c>
    </row>
    <row r="12">
      <c r="B12" t="inlineStr">
        <is>
          <t>01</t>
        </is>
      </c>
      <c r="C12" t="n">
        <v>8</v>
      </c>
      <c r="D12" t="inlineStr">
        <is>
          <t>Up</t>
        </is>
      </c>
      <c r="E12" s="19" t="n">
        <v>2</v>
      </c>
      <c r="F12" s="19" t="n">
        <v>4</v>
      </c>
      <c r="G12" s="22" t="n">
        <v>60</v>
      </c>
      <c r="H12" t="inlineStr">
        <is>
          <t>Yes</t>
        </is>
      </c>
      <c r="I12" t="inlineStr">
        <is>
          <t>No</t>
        </is>
      </c>
      <c r="J12" s="19" t="n">
        <v>200</v>
      </c>
      <c r="K12" s="21" t="n">
        <v>50000</v>
      </c>
      <c r="L12" s="19" t="n">
        <v>20</v>
      </c>
      <c r="M12" s="19" t="n">
        <v>20</v>
      </c>
      <c r="N12" s="19" t="n">
        <v>25</v>
      </c>
      <c r="O12" s="19" t="n">
        <v>3.396218997857658e-14</v>
      </c>
      <c r="P12" s="19" t="n">
        <v>0.5</v>
      </c>
      <c r="Q12" t="inlineStr">
        <is>
          <t>OK</t>
        </is>
      </c>
    </row>
    <row r="13">
      <c r="B13" t="inlineStr">
        <is>
          <t>01</t>
        </is>
      </c>
      <c r="C13" t="n">
        <v>9</v>
      </c>
      <c r="D13" t="inlineStr">
        <is>
          <t>Up</t>
        </is>
      </c>
      <c r="E13" s="19" t="n">
        <v>3</v>
      </c>
      <c r="F13" s="19" t="n">
        <v>6</v>
      </c>
      <c r="G13" s="22" t="n">
        <v>60</v>
      </c>
      <c r="H13" t="inlineStr">
        <is>
          <t>Yes</t>
        </is>
      </c>
      <c r="I13" t="inlineStr">
        <is>
          <t>No</t>
        </is>
      </c>
      <c r="J13" s="19" t="n">
        <v>200</v>
      </c>
      <c r="K13" s="21" t="n">
        <v>33333.3333</v>
      </c>
      <c r="L13" s="19" t="n">
        <v>20</v>
      </c>
      <c r="M13" s="19" t="n">
        <v>20</v>
      </c>
      <c r="N13" s="19" t="n">
        <v>25</v>
      </c>
      <c r="O13" s="19" t="n">
        <v>3.396218997857658e-14</v>
      </c>
      <c r="P13" s="19" t="n">
        <v>0.5</v>
      </c>
      <c r="Q13" t="inlineStr">
        <is>
          <t>OK</t>
        </is>
      </c>
    </row>
    <row r="14">
      <c r="B14" t="inlineStr">
        <is>
          <t>01</t>
        </is>
      </c>
      <c r="C14" t="n">
        <v>10</v>
      </c>
      <c r="D14" t="inlineStr">
        <is>
          <t>Up</t>
        </is>
      </c>
      <c r="E14" s="19" t="n">
        <v>4</v>
      </c>
      <c r="F14" s="19" t="n">
        <v>8</v>
      </c>
      <c r="G14" s="22" t="n">
        <v>60</v>
      </c>
      <c r="H14" t="inlineStr">
        <is>
          <t>Yes</t>
        </is>
      </c>
      <c r="I14" t="inlineStr">
        <is>
          <t>No</t>
        </is>
      </c>
      <c r="J14" s="19" t="n">
        <v>200</v>
      </c>
      <c r="K14" s="21" t="n">
        <v>25000</v>
      </c>
      <c r="L14" s="19" t="n">
        <v>20</v>
      </c>
      <c r="M14" s="19" t="n">
        <v>20</v>
      </c>
      <c r="N14" s="19" t="n">
        <v>25</v>
      </c>
      <c r="O14" s="19" t="n">
        <v>3.396218997857658e-14</v>
      </c>
      <c r="P14" s="19" t="n">
        <v>0.5</v>
      </c>
      <c r="Q14" t="inlineStr">
        <is>
          <t>OK</t>
        </is>
      </c>
    </row>
    <row r="15">
      <c r="B15" t="inlineStr">
        <is>
          <t>01</t>
        </is>
      </c>
      <c r="C15" t="n">
        <v>11</v>
      </c>
      <c r="D15" t="inlineStr">
        <is>
          <t>Up</t>
        </is>
      </c>
      <c r="E15" s="19" t="n">
        <v>5</v>
      </c>
      <c r="F15" s="19" t="n">
        <v>10</v>
      </c>
      <c r="G15" s="22" t="n">
        <v>60</v>
      </c>
      <c r="H15" t="inlineStr">
        <is>
          <t>Yes</t>
        </is>
      </c>
      <c r="I15" t="inlineStr">
        <is>
          <t>No</t>
        </is>
      </c>
      <c r="J15" s="19" t="n">
        <v>200</v>
      </c>
      <c r="K15" s="21" t="n">
        <v>20000</v>
      </c>
      <c r="L15" s="19" t="n">
        <v>20</v>
      </c>
      <c r="M15" s="19" t="n">
        <v>20</v>
      </c>
      <c r="N15" s="19" t="n">
        <v>25</v>
      </c>
      <c r="O15" s="19" t="n">
        <v>3.396218997857658e-14</v>
      </c>
      <c r="P15" s="19" t="n">
        <v>0.5</v>
      </c>
      <c r="Q15" t="inlineStr">
        <is>
          <t>OK</t>
        </is>
      </c>
    </row>
  </sheetData>
  <mergeCells count="2">
    <mergeCell ref="B2:Q2"/>
    <mergeCell ref="B3:Q3"/>
  </mergeCells>
  <hyperlinks>
    <hyperlink ref="B1" location="'Lot_QC_Summary'!B2"/>
    <hyperlink ref="C1" location="'QC_Dictionary'!B2"/>
    <hyperlink ref="D1" location="'A_Replicates'!B2"/>
    <hyperlink ref="E1" location="'B_Replicates'!B2"/>
    <hyperlink ref="F1" location="'Density_Replicates'!B2"/>
    <hyperlink ref="G1" location="'A_Replicates_INCL'!B2"/>
    <hyperlink ref="H1" location="'A_Replicates_EXC'!B2"/>
    <hyperlink ref="I1" location="'Metric_Statistics'!B2"/>
    <hyperlink ref="J1" location="'A_Step_Replicates'!B2"/>
    <hyperlink ref="K1" location="'A_Step_Statistics'!B2"/>
    <hyperlink ref="L1" location="'Replicate_Flags'!B2"/>
    <hyperlink ref="M1" location="'Traceability'!B2"/>
  </hyperlink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N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B1" s="1" t="inlineStr">
        <is>
          <t>Lot_QC_Summary</t>
        </is>
      </c>
      <c r="C1" s="1" t="inlineStr">
        <is>
          <t>QC_Dictionary</t>
        </is>
      </c>
      <c r="D1" s="1" t="inlineStr">
        <is>
          <t>A_Replicates</t>
        </is>
      </c>
      <c r="E1" s="1" t="inlineStr">
        <is>
          <t>B_Replicates</t>
        </is>
      </c>
      <c r="F1" s="1" t="inlineStr">
        <is>
          <t>Density_Replicates</t>
        </is>
      </c>
      <c r="G1" s="1" t="inlineStr">
        <is>
          <t>A_Replicates_INCL</t>
        </is>
      </c>
      <c r="H1" s="1" t="inlineStr">
        <is>
          <t>A_Replicates_EXC</t>
        </is>
      </c>
      <c r="I1" s="1" t="inlineStr">
        <is>
          <t>Metric_Statistics</t>
        </is>
      </c>
      <c r="J1" s="1" t="inlineStr">
        <is>
          <t>A_Step_Replicates</t>
        </is>
      </c>
      <c r="K1" s="1" t="inlineStr">
        <is>
          <t>A_Step_Statistics</t>
        </is>
      </c>
      <c r="L1" s="1" t="inlineStr">
        <is>
          <t>Replicate_Flags</t>
        </is>
      </c>
      <c r="M1" s="1" t="inlineStr">
        <is>
          <t>Traceability</t>
        </is>
      </c>
    </row>
    <row r="2" ht="28" customHeight="1">
      <c r="B2" s="2" t="inlineStr">
        <is>
          <t>A_Step_Statistics — 정량 Step의 반복 통계와 Lot 평균 유동곡선</t>
        </is>
      </c>
    </row>
    <row r="3" ht="30" customHeight="1">
      <c r="B3" s="3" t="inlineStr">
        <is>
          <t>정량 사용(used) Step만 집계합니다. RSD는 반복 간 변동, 분해능은 판별 가능한 최소 상대 차이입니다.</t>
        </is>
      </c>
    </row>
    <row r="5" ht="28" customHeight="1">
      <c r="B5" s="8" t="inlineStr">
        <is>
          <t>dir</t>
        </is>
      </c>
      <c r="C5" s="8" t="inlineStr">
        <is>
          <t>RPM</t>
        </is>
      </c>
      <c r="D5" s="8" t="inlineStr">
        <is>
          <t>gamma</t>
        </is>
      </c>
      <c r="E5" s="8" t="inlineStr">
        <is>
          <t>n_rep</t>
        </is>
      </c>
      <c r="F5" s="8" t="inlineStr">
        <is>
          <t>tau_mean</t>
        </is>
      </c>
      <c r="G5" s="8" t="inlineStr">
        <is>
          <t>tau_SD</t>
        </is>
      </c>
      <c r="H5" s="8" t="inlineStr">
        <is>
          <t>tau_RSD_pct</t>
        </is>
      </c>
      <c r="I5" s="8" t="inlineStr">
        <is>
          <t>eta_mean</t>
        </is>
      </c>
      <c r="J5" s="8" t="inlineStr">
        <is>
          <t>torque_mean</t>
        </is>
      </c>
      <c r="K5" s="8" t="inlineStr">
        <is>
          <t>drift_max_abs</t>
        </is>
      </c>
      <c r="L5" s="8" t="inlineStr">
        <is>
          <t>resolution_pct</t>
        </is>
      </c>
      <c r="M5" s="8" t="inlineStr">
        <is>
          <t>exception_n</t>
        </is>
      </c>
    </row>
    <row r="6">
      <c r="B6" t="inlineStr">
        <is>
          <t>Up</t>
        </is>
      </c>
      <c r="C6" s="19" t="n">
        <v>0.2</v>
      </c>
      <c r="D6" s="19" t="n">
        <v>0.4</v>
      </c>
      <c r="E6" t="n">
        <v>1</v>
      </c>
      <c r="F6" s="19" t="n">
        <v>200</v>
      </c>
      <c r="G6" s="19" t="n"/>
      <c r="H6" s="19" t="n"/>
      <c r="I6" s="21" t="n">
        <v>500000</v>
      </c>
      <c r="J6" s="19" t="n">
        <v>20</v>
      </c>
      <c r="K6" s="19" t="n">
        <v>3.396218997857658e-14</v>
      </c>
      <c r="L6" s="19" t="n">
        <v>0.5</v>
      </c>
      <c r="M6" t="n">
        <v>0</v>
      </c>
    </row>
    <row r="7">
      <c r="B7" t="inlineStr">
        <is>
          <t>Up</t>
        </is>
      </c>
      <c r="C7" s="19" t="n">
        <v>0.35</v>
      </c>
      <c r="D7" s="19" t="n">
        <v>0.7</v>
      </c>
      <c r="E7" t="n">
        <v>1</v>
      </c>
      <c r="F7" s="19" t="n">
        <v>200</v>
      </c>
      <c r="G7" s="19" t="n"/>
      <c r="H7" s="19" t="n"/>
      <c r="I7" s="21" t="n">
        <v>285714.2857</v>
      </c>
      <c r="J7" s="19" t="n">
        <v>20</v>
      </c>
      <c r="K7" s="19" t="n">
        <v>3.396218997857658e-14</v>
      </c>
      <c r="L7" s="19" t="n">
        <v>0.5</v>
      </c>
      <c r="M7" t="n">
        <v>0</v>
      </c>
    </row>
    <row r="8">
      <c r="B8" t="inlineStr">
        <is>
          <t>Up</t>
        </is>
      </c>
      <c r="C8" s="19" t="n">
        <v>0.5</v>
      </c>
      <c r="D8" s="19" t="n">
        <v>1</v>
      </c>
      <c r="E8" t="n">
        <v>1</v>
      </c>
      <c r="F8" s="19" t="n">
        <v>200</v>
      </c>
      <c r="G8" s="19" t="n"/>
      <c r="H8" s="19" t="n"/>
      <c r="I8" s="21" t="n">
        <v>200000</v>
      </c>
      <c r="J8" s="19" t="n">
        <v>20</v>
      </c>
      <c r="K8" s="19" t="n">
        <v>3.396218997857658e-14</v>
      </c>
      <c r="L8" s="19" t="n">
        <v>0.5</v>
      </c>
      <c r="M8" t="n">
        <v>0</v>
      </c>
    </row>
    <row r="9">
      <c r="B9" t="inlineStr">
        <is>
          <t>Up</t>
        </is>
      </c>
      <c r="C9" s="19" t="n">
        <v>0.7</v>
      </c>
      <c r="D9" s="19" t="n">
        <v>1.4</v>
      </c>
      <c r="E9" t="n">
        <v>1</v>
      </c>
      <c r="F9" s="19" t="n">
        <v>200</v>
      </c>
      <c r="G9" s="19" t="n"/>
      <c r="H9" s="19" t="n"/>
      <c r="I9" s="21" t="n">
        <v>142857.1429</v>
      </c>
      <c r="J9" s="19" t="n">
        <v>20</v>
      </c>
      <c r="K9" s="19" t="n">
        <v>3.396218997857658e-14</v>
      </c>
      <c r="L9" s="19" t="n">
        <v>0.5</v>
      </c>
      <c r="M9" t="n">
        <v>0</v>
      </c>
    </row>
    <row r="10">
      <c r="B10" t="inlineStr">
        <is>
          <t>Up</t>
        </is>
      </c>
      <c r="C10" s="19" t="n">
        <v>1</v>
      </c>
      <c r="D10" s="19" t="n">
        <v>2</v>
      </c>
      <c r="E10" t="n">
        <v>1</v>
      </c>
      <c r="F10" s="19" t="n">
        <v>200</v>
      </c>
      <c r="G10" s="19" t="n"/>
      <c r="H10" s="19" t="n"/>
      <c r="I10" s="21" t="n">
        <v>100000</v>
      </c>
      <c r="J10" s="19" t="n">
        <v>20</v>
      </c>
      <c r="K10" s="19" t="n">
        <v>3.396218997857658e-14</v>
      </c>
      <c r="L10" s="19" t="n">
        <v>0.5</v>
      </c>
      <c r="M10" t="n">
        <v>0</v>
      </c>
    </row>
    <row r="11">
      <c r="B11" t="inlineStr">
        <is>
          <t>Up</t>
        </is>
      </c>
      <c r="C11" s="19" t="n">
        <v>1.5</v>
      </c>
      <c r="D11" s="19" t="n">
        <v>3</v>
      </c>
      <c r="E11" t="n">
        <v>1</v>
      </c>
      <c r="F11" s="19" t="n">
        <v>200</v>
      </c>
      <c r="G11" s="19" t="n"/>
      <c r="H11" s="19" t="n"/>
      <c r="I11" s="21" t="n">
        <v>66666.66669999999</v>
      </c>
      <c r="J11" s="19" t="n">
        <v>20</v>
      </c>
      <c r="K11" s="19" t="n">
        <v>3.396218997857658e-14</v>
      </c>
      <c r="L11" s="19" t="n">
        <v>0.5</v>
      </c>
      <c r="M11" t="n">
        <v>0</v>
      </c>
    </row>
    <row r="12">
      <c r="B12" t="inlineStr">
        <is>
          <t>Up</t>
        </is>
      </c>
      <c r="C12" s="19" t="n">
        <v>2</v>
      </c>
      <c r="D12" s="19" t="n">
        <v>4</v>
      </c>
      <c r="E12" t="n">
        <v>1</v>
      </c>
      <c r="F12" s="19" t="n">
        <v>200</v>
      </c>
      <c r="G12" s="19" t="n"/>
      <c r="H12" s="19" t="n"/>
      <c r="I12" s="21" t="n">
        <v>50000</v>
      </c>
      <c r="J12" s="19" t="n">
        <v>20</v>
      </c>
      <c r="K12" s="19" t="n">
        <v>3.396218997857658e-14</v>
      </c>
      <c r="L12" s="19" t="n">
        <v>0.5</v>
      </c>
      <c r="M12" t="n">
        <v>0</v>
      </c>
    </row>
    <row r="13">
      <c r="B13" t="inlineStr">
        <is>
          <t>Up</t>
        </is>
      </c>
      <c r="C13" s="19" t="n">
        <v>3</v>
      </c>
      <c r="D13" s="19" t="n">
        <v>6</v>
      </c>
      <c r="E13" t="n">
        <v>1</v>
      </c>
      <c r="F13" s="19" t="n">
        <v>200</v>
      </c>
      <c r="G13" s="19" t="n"/>
      <c r="H13" s="19" t="n"/>
      <c r="I13" s="21" t="n">
        <v>33333.3333</v>
      </c>
      <c r="J13" s="19" t="n">
        <v>20</v>
      </c>
      <c r="K13" s="19" t="n">
        <v>3.396218997857658e-14</v>
      </c>
      <c r="L13" s="19" t="n">
        <v>0.5</v>
      </c>
      <c r="M13" t="n">
        <v>0</v>
      </c>
    </row>
    <row r="14">
      <c r="B14" t="inlineStr">
        <is>
          <t>Up</t>
        </is>
      </c>
      <c r="C14" s="19" t="n">
        <v>4</v>
      </c>
      <c r="D14" s="19" t="n">
        <v>8</v>
      </c>
      <c r="E14" t="n">
        <v>1</v>
      </c>
      <c r="F14" s="19" t="n">
        <v>200</v>
      </c>
      <c r="G14" s="19" t="n"/>
      <c r="H14" s="19" t="n"/>
      <c r="I14" s="21" t="n">
        <v>25000</v>
      </c>
      <c r="J14" s="19" t="n">
        <v>20</v>
      </c>
      <c r="K14" s="19" t="n">
        <v>3.396218997857658e-14</v>
      </c>
      <c r="L14" s="19" t="n">
        <v>0.5</v>
      </c>
      <c r="M14" t="n">
        <v>0</v>
      </c>
    </row>
    <row r="15">
      <c r="B15" t="inlineStr">
        <is>
          <t>Up</t>
        </is>
      </c>
      <c r="C15" s="19" t="n">
        <v>5</v>
      </c>
      <c r="D15" s="19" t="n">
        <v>10</v>
      </c>
      <c r="E15" t="n">
        <v>1</v>
      </c>
      <c r="F15" s="19" t="n">
        <v>200</v>
      </c>
      <c r="G15" s="19" t="n"/>
      <c r="H15" s="19" t="n"/>
      <c r="I15" s="21" t="n">
        <v>20000</v>
      </c>
      <c r="J15" s="19" t="n">
        <v>20</v>
      </c>
      <c r="K15" s="19" t="n">
        <v>3.396218997857658e-14</v>
      </c>
      <c r="L15" s="19" t="n">
        <v>0.5</v>
      </c>
      <c r="M15" t="n">
        <v>0</v>
      </c>
    </row>
  </sheetData>
  <mergeCells count="2">
    <mergeCell ref="B3:N3"/>
    <mergeCell ref="B2:N2"/>
  </mergeCells>
  <hyperlinks>
    <hyperlink ref="B1" location="'Lot_QC_Summary'!B2"/>
    <hyperlink ref="C1" location="'QC_Dictionary'!B2"/>
    <hyperlink ref="D1" location="'A_Replicates'!B2"/>
    <hyperlink ref="E1" location="'B_Replicates'!B2"/>
    <hyperlink ref="F1" location="'Density_Replicates'!B2"/>
    <hyperlink ref="G1" location="'A_Replicates_INCL'!B2"/>
    <hyperlink ref="H1" location="'A_Replicates_EXC'!B2"/>
    <hyperlink ref="I1" location="'Metric_Statistics'!B2"/>
    <hyperlink ref="J1" location="'A_Step_Replicates'!B2"/>
    <hyperlink ref="K1" location="'A_Step_Statistics'!B2"/>
    <hyperlink ref="L1" location="'Replicate_Flags'!B2"/>
    <hyperlink ref="M1" location="'Traceability'!B2"/>
  </hyperlink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M37"/>
  <sheetViews>
    <sheetView showGridLines="0"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22" customWidth="1" min="4" max="4"/>
    <col width="26" customWidth="1" min="5" max="5"/>
    <col width="11" customWidth="1" min="6" max="6"/>
    <col width="90" customWidth="1" min="7" max="7"/>
    <col width="18" customWidth="1" min="8" max="8"/>
    <col width="2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B1" s="1" t="inlineStr">
        <is>
          <t>Lot_QC_Summary</t>
        </is>
      </c>
      <c r="C1" s="1" t="inlineStr">
        <is>
          <t>QC_Dictionary</t>
        </is>
      </c>
      <c r="D1" s="1" t="inlineStr">
        <is>
          <t>A_Replicates</t>
        </is>
      </c>
      <c r="E1" s="1" t="inlineStr">
        <is>
          <t>B_Replicates</t>
        </is>
      </c>
      <c r="F1" s="1" t="inlineStr">
        <is>
          <t>Density_Replicates</t>
        </is>
      </c>
      <c r="G1" s="1" t="inlineStr">
        <is>
          <t>A_Replicates_INCL</t>
        </is>
      </c>
      <c r="H1" s="1" t="inlineStr">
        <is>
          <t>A_Replicates_EXC</t>
        </is>
      </c>
      <c r="I1" s="1" t="inlineStr">
        <is>
          <t>Metric_Statistics</t>
        </is>
      </c>
      <c r="J1" s="1" t="inlineStr">
        <is>
          <t>A_Step_Replicates</t>
        </is>
      </c>
      <c r="K1" s="1" t="inlineStr">
        <is>
          <t>A_Step_Statistics</t>
        </is>
      </c>
      <c r="L1" s="1" t="inlineStr">
        <is>
          <t>Replicate_Flags</t>
        </is>
      </c>
      <c r="M1" s="1" t="inlineStr">
        <is>
          <t>Traceability</t>
        </is>
      </c>
    </row>
    <row r="2" ht="28" customHeight="1">
      <c r="B2" s="2" t="inlineStr">
        <is>
          <t>Replicate_Flags — 반복별 공란·경고·제외 사유</t>
        </is>
      </c>
    </row>
    <row r="3" ht="30" customHeight="1">
      <c r="B3" s="3" t="inlineStr">
        <is>
          <t>지표 상태가 OK가 아닌 항목과 04_2 데이터·모델 검사의 비OK 항목을 모두 나열합니다.</t>
        </is>
      </c>
    </row>
    <row r="5" ht="28" customHeight="1">
      <c r="B5" s="8" t="inlineStr">
        <is>
          <t>method</t>
        </is>
      </c>
      <c r="C5" s="8" t="inlineStr">
        <is>
          <t>repeat</t>
        </is>
      </c>
      <c r="D5" s="8" t="inlineStr">
        <is>
          <t>file</t>
        </is>
      </c>
      <c r="E5" s="8" t="inlineStr">
        <is>
          <t>item</t>
        </is>
      </c>
      <c r="F5" s="8" t="inlineStr">
        <is>
          <t>status</t>
        </is>
      </c>
      <c r="G5" s="8" t="inlineStr">
        <is>
          <t>reason</t>
        </is>
      </c>
    </row>
    <row r="6">
      <c r="B6" t="inlineStr">
        <is>
          <t>A</t>
        </is>
      </c>
      <c r="C6" t="inlineStr">
        <is>
          <t>01</t>
        </is>
      </c>
      <c r="D6" t="inlineStr">
        <is>
          <t>HT-SYN-01.csv</t>
        </is>
      </c>
      <c r="E6" t="inlineStr">
        <is>
          <t>A_DU_L [S]</t>
        </is>
      </c>
      <c r="F6" t="inlineStr">
        <is>
          <t>NO VALUE</t>
        </is>
      </c>
      <c r="G6" s="7" t="inlineStr">
        <is>
          <t>S4 Up 0.5 rpm; Down 0.5 rpm Step 없음</t>
        </is>
      </c>
    </row>
    <row r="7">
      <c r="B7" t="inlineStr">
        <is>
          <t>A</t>
        </is>
      </c>
      <c r="C7" t="inlineStr">
        <is>
          <t>01</t>
        </is>
      </c>
      <c r="D7" t="inlineStr">
        <is>
          <t>HT-SYN-01.csv</t>
        </is>
      </c>
      <c r="E7" t="inlineStr">
        <is>
          <t>A_DU_M [S]</t>
        </is>
      </c>
      <c r="F7" t="inlineStr">
        <is>
          <t>NO VALUE</t>
        </is>
      </c>
      <c r="G7" s="7" t="inlineStr">
        <is>
          <t>S8 Up 2 rpm; Down 2 rpm Step 없음</t>
        </is>
      </c>
    </row>
    <row r="8">
      <c r="B8" t="inlineStr">
        <is>
          <t>A</t>
        </is>
      </c>
      <c r="C8" t="inlineStr">
        <is>
          <t>01</t>
        </is>
      </c>
      <c r="D8" t="inlineStr">
        <is>
          <t>HT-SYN-01.csv</t>
        </is>
      </c>
      <c r="E8" t="inlineStr">
        <is>
          <t>A_HYS_REL [S]</t>
        </is>
      </c>
      <c r="F8" t="inlineStr">
        <is>
          <t>NO VALUE</t>
        </is>
      </c>
      <c r="G8" s="7" t="inlineStr">
        <is>
          <t>공통 전단률 0쌍 | Full H-B only; no paired point for hysteresis: S2 0.2 rpm, S3 0.35 rpm, S4 0.5 rpm, S5 0.7 rpm, S6 1 rpm, S7 1.5 rpm, S8 2 rpm, S9 3 rpm, S10 4 rpm, S11 5 rpm</t>
        </is>
      </c>
    </row>
    <row r="9">
      <c r="B9" t="inlineStr">
        <is>
          <t>A</t>
        </is>
      </c>
      <c r="C9" t="inlineStr">
        <is>
          <t>01</t>
        </is>
      </c>
      <c r="D9" t="inlineStr">
        <is>
          <t>HT-SYN-01.csv</t>
        </is>
      </c>
      <c r="E9" t="inlineStr">
        <is>
          <t>A_HYS_AREA_SIGNED [S]</t>
        </is>
      </c>
      <c r="F9" t="inlineStr">
        <is>
          <t>NO VALUE</t>
        </is>
      </c>
      <c r="G9" s="7" t="inlineStr">
        <is>
          <t>공통 전단률 0쌍(&lt;2) — 면적 적분 불가</t>
        </is>
      </c>
    </row>
    <row r="10">
      <c r="B10" t="inlineStr">
        <is>
          <t>A</t>
        </is>
      </c>
      <c r="C10" t="inlineStr">
        <is>
          <t>01</t>
        </is>
      </c>
      <c r="D10" t="inlineStr">
        <is>
          <t>HT-SYN-01.csv</t>
        </is>
      </c>
      <c r="E10" t="inlineStr">
        <is>
          <t>A_HYS_AREA_ABS [S]</t>
        </is>
      </c>
      <c r="F10" t="inlineStr">
        <is>
          <t>NO VALUE</t>
        </is>
      </c>
      <c r="G10" s="7" t="inlineStr">
        <is>
          <t>공통 전단률 0쌍(&lt;2) — 면적 적분 불가</t>
        </is>
      </c>
    </row>
    <row r="11">
      <c r="B11" t="inlineStr">
        <is>
          <t>A</t>
        </is>
      </c>
      <c r="C11" t="inlineStr">
        <is>
          <t>01</t>
        </is>
      </c>
      <c r="D11" t="inlineStr">
        <is>
          <t>HT-SYN-01.csv</t>
        </is>
      </c>
      <c r="E11" t="inlineStr">
        <is>
          <t>A_HDI [S]</t>
        </is>
      </c>
      <c r="F11" t="inlineStr">
        <is>
          <t>NO VALUE</t>
        </is>
      </c>
      <c r="G11" s="7" t="inlineStr">
        <is>
          <t>공통 전단률 0쌍(&lt;4)</t>
        </is>
      </c>
    </row>
    <row r="12">
      <c r="B12" t="inlineStr">
        <is>
          <t>A</t>
        </is>
      </c>
      <c r="C12" t="inlineStr">
        <is>
          <t>01</t>
        </is>
      </c>
      <c r="D12" t="inlineStr">
        <is>
          <t>HT-SYN-01.csv</t>
        </is>
      </c>
      <c r="E12" t="inlineStr">
        <is>
          <t>A_OVS_L [S]</t>
        </is>
      </c>
      <c r="F12" t="inlineStr">
        <is>
          <t>NOTICE</t>
        </is>
      </c>
      <c r="G12" s="7" t="inlineStr">
        <is>
          <t>Start-up overshoot stress calculated from first moving Step S2 0.2 rpm; 기준 0.5 rpm과 다름; peak @ 1 s; S2 Up 0.2 rpm — 진단값, Lot 판정 제외</t>
        </is>
      </c>
    </row>
    <row r="13">
      <c r="B13" t="inlineStr">
        <is>
          <t>A</t>
        </is>
      </c>
      <c r="C13" t="inlineStr">
        <is>
          <t>01</t>
        </is>
      </c>
      <c r="D13" t="inlineStr">
        <is>
          <t>HT-SYN-01.csv</t>
        </is>
      </c>
      <c r="E13" t="inlineStr">
        <is>
          <t>A_HB_TAUY_DN [S]</t>
        </is>
      </c>
      <c r="F13" t="inlineStr">
        <is>
          <t>NO VALUE</t>
        </is>
      </c>
      <c r="G13" s="7" t="inlineStr">
        <is>
          <t xml:space="preserve">Down Full: INVALID — 유효점 4개 미만 | Full H-B | Steps  | RPM  | n=0 | γ̇ </t>
        </is>
      </c>
    </row>
    <row r="14">
      <c r="B14" t="inlineStr">
        <is>
          <t>A</t>
        </is>
      </c>
      <c r="C14" t="inlineStr">
        <is>
          <t>01</t>
        </is>
      </c>
      <c r="D14" t="inlineStr">
        <is>
          <t>HT-SYN-01.csv</t>
        </is>
      </c>
      <c r="E14" t="inlineStr">
        <is>
          <t>A_HB_K_DN [S]</t>
        </is>
      </c>
      <c r="F14" t="inlineStr">
        <is>
          <t>NO VALUE</t>
        </is>
      </c>
      <c r="G14" s="7" t="inlineStr">
        <is>
          <t xml:space="preserve">Down Full: INVALID — 유효점 4개 미만 | Full H-B | Steps  | RPM  | n=0 | γ̇ </t>
        </is>
      </c>
    </row>
    <row r="15">
      <c r="B15" t="inlineStr">
        <is>
          <t>A</t>
        </is>
      </c>
      <c r="C15" t="inlineStr">
        <is>
          <t>01</t>
        </is>
      </c>
      <c r="D15" t="inlineStr">
        <is>
          <t>HT-SYN-01.csv</t>
        </is>
      </c>
      <c r="E15" t="inlineStr">
        <is>
          <t>A_HB_N_DN [S]</t>
        </is>
      </c>
      <c r="F15" t="inlineStr">
        <is>
          <t>NO VALUE</t>
        </is>
      </c>
      <c r="G15" s="7" t="inlineStr">
        <is>
          <t xml:space="preserve">Down Full: INVALID — 유효점 4개 미만 | Full H-B | Steps  | RPM  | n=0 | γ̇ </t>
        </is>
      </c>
    </row>
    <row r="16">
      <c r="B16" t="inlineStr">
        <is>
          <t>A</t>
        </is>
      </c>
      <c r="C16" t="inlineStr">
        <is>
          <t>01</t>
        </is>
      </c>
      <c r="D16" t="inlineStr">
        <is>
          <t>HT-SYN-01.csv</t>
        </is>
      </c>
      <c r="E16" t="inlineStr">
        <is>
          <t>A_HB_TAUY_UP_COMMON [S]</t>
        </is>
      </c>
      <c r="F16" t="inlineStr">
        <is>
          <t>NO VALUE</t>
        </is>
      </c>
      <c r="G16" s="7" t="inlineStr">
        <is>
          <t xml:space="preserve">Up Common: INVALID — 유효점 4개 미만 | Common H-B | Steps  | RPM  | n=0 | γ̇ </t>
        </is>
      </c>
    </row>
    <row r="17">
      <c r="B17" t="inlineStr">
        <is>
          <t>A</t>
        </is>
      </c>
      <c r="C17" t="inlineStr">
        <is>
          <t>01</t>
        </is>
      </c>
      <c r="D17" t="inlineStr">
        <is>
          <t>HT-SYN-01.csv</t>
        </is>
      </c>
      <c r="E17" t="inlineStr">
        <is>
          <t>A_HB_K_UP_COMMON [S]</t>
        </is>
      </c>
      <c r="F17" t="inlineStr">
        <is>
          <t>NO VALUE</t>
        </is>
      </c>
      <c r="G17" s="7" t="inlineStr">
        <is>
          <t xml:space="preserve">Up Common: INVALID — 유효점 4개 미만 | Common H-B | Steps  | RPM  | n=0 | γ̇ </t>
        </is>
      </c>
    </row>
    <row r="18">
      <c r="B18" t="inlineStr">
        <is>
          <t>A</t>
        </is>
      </c>
      <c r="C18" t="inlineStr">
        <is>
          <t>01</t>
        </is>
      </c>
      <c r="D18" t="inlineStr">
        <is>
          <t>HT-SYN-01.csv</t>
        </is>
      </c>
      <c r="E18" t="inlineStr">
        <is>
          <t>A_HB_N_UP_COMMON [S]</t>
        </is>
      </c>
      <c r="F18" t="inlineStr">
        <is>
          <t>NO VALUE</t>
        </is>
      </c>
      <c r="G18" s="7" t="inlineStr">
        <is>
          <t xml:space="preserve">Up Common: INVALID — 유효점 4개 미만 | Common H-B | Steps  | RPM  | n=0 | γ̇ </t>
        </is>
      </c>
    </row>
    <row r="19">
      <c r="B19" t="inlineStr">
        <is>
          <t>A</t>
        </is>
      </c>
      <c r="C19" t="inlineStr">
        <is>
          <t>01</t>
        </is>
      </c>
      <c r="D19" t="inlineStr">
        <is>
          <t>HT-SYN-01.csv</t>
        </is>
      </c>
      <c r="E19" t="inlineStr">
        <is>
          <t>A_HB_TAUY_DN_COMMON [S]</t>
        </is>
      </c>
      <c r="F19" t="inlineStr">
        <is>
          <t>NO VALUE</t>
        </is>
      </c>
      <c r="G19" s="7" t="inlineStr">
        <is>
          <t xml:space="preserve">Down Common: INVALID — 유효점 4개 미만 | Common H-B | Steps  | RPM  | n=0 | γ̇ </t>
        </is>
      </c>
    </row>
    <row r="20">
      <c r="B20" t="inlineStr">
        <is>
          <t>A</t>
        </is>
      </c>
      <c r="C20" t="inlineStr">
        <is>
          <t>01</t>
        </is>
      </c>
      <c r="D20" t="inlineStr">
        <is>
          <t>HT-SYN-01.csv</t>
        </is>
      </c>
      <c r="E20" t="inlineStr">
        <is>
          <t>A_HB_K_DN_COMMON [S]</t>
        </is>
      </c>
      <c r="F20" t="inlineStr">
        <is>
          <t>NO VALUE</t>
        </is>
      </c>
      <c r="G20" s="7" t="inlineStr">
        <is>
          <t xml:space="preserve">Down Common: INVALID — 유효점 4개 미만 | Common H-B | Steps  | RPM  | n=0 | γ̇ </t>
        </is>
      </c>
    </row>
    <row r="21">
      <c r="B21" t="inlineStr">
        <is>
          <t>A</t>
        </is>
      </c>
      <c r="C21" t="inlineStr">
        <is>
          <t>01</t>
        </is>
      </c>
      <c r="D21" t="inlineStr">
        <is>
          <t>HT-SYN-01.csv</t>
        </is>
      </c>
      <c r="E21" t="inlineStr">
        <is>
          <t>A_HB_N_DN_COMMON [S]</t>
        </is>
      </c>
      <c r="F21" t="inlineStr">
        <is>
          <t>NO VALUE</t>
        </is>
      </c>
      <c r="G21" s="7" t="inlineStr">
        <is>
          <t xml:space="preserve">Down Common: INVALID — 유효점 4개 미만 | Common H-B | Steps  | RPM  | n=0 | γ̇ </t>
        </is>
      </c>
    </row>
    <row r="22">
      <c r="B22" t="inlineStr">
        <is>
          <t>A</t>
        </is>
      </c>
      <c r="C22" t="inlineStr">
        <is>
          <t>01</t>
        </is>
      </c>
      <c r="D22" t="inlineStr">
        <is>
          <t>HT-SYN-01.csv</t>
        </is>
      </c>
      <c r="E22" t="inlineStr">
        <is>
          <t>A_HB_R2_UP [S]</t>
        </is>
      </c>
      <c r="F22" t="inlineStr">
        <is>
          <t>NO VALUE</t>
        </is>
      </c>
      <c r="G22" s="7" t="inlineStr">
        <is>
          <t>Up Full: OK — 피팅 진단값, Lot 판정 제외 | Full H-B | Steps S2,S3,S4,S5,S6,S7,S8,S9,S10,S11 | RPM 0.2,0.35,0.5,0.7,1,1.5,2,3,4,5 | n=10 | γ̇ 0.4–10</t>
        </is>
      </c>
    </row>
    <row r="23">
      <c r="B23" t="inlineStr">
        <is>
          <t>A</t>
        </is>
      </c>
      <c r="C23" t="inlineStr">
        <is>
          <t>01</t>
        </is>
      </c>
      <c r="D23" t="inlineStr">
        <is>
          <t>HT-SYN-01.csv</t>
        </is>
      </c>
      <c r="E23" t="inlineStr">
        <is>
          <t>A_HB_R2_DN [S]</t>
        </is>
      </c>
      <c r="F23" t="inlineStr">
        <is>
          <t>NO VALUE</t>
        </is>
      </c>
      <c r="G23" s="7" t="inlineStr">
        <is>
          <t xml:space="preserve">Down Full: INVALID — 유효점 4개 미만 — 피팅 진단값, Lot 판정 제외 | Full H-B | Steps  | RPM  | n=0 | γ̇ </t>
        </is>
      </c>
    </row>
    <row r="24">
      <c r="B24" t="inlineStr">
        <is>
          <t>A</t>
        </is>
      </c>
      <c r="C24" t="inlineStr">
        <is>
          <t>01</t>
        </is>
      </c>
      <c r="D24" t="inlineStr">
        <is>
          <t>HT-SYN-01.csv</t>
        </is>
      </c>
      <c r="E24" t="inlineStr">
        <is>
          <t>A_HB_R2_UP_COMMON [S]</t>
        </is>
      </c>
      <c r="F24" t="inlineStr">
        <is>
          <t>NO VALUE</t>
        </is>
      </c>
      <c r="G24" s="7" t="inlineStr">
        <is>
          <t xml:space="preserve">Up Common: INVALID — 유효점 4개 미만 — 피팅 진단값, Lot 판정 제외 | Common H-B | Steps  | RPM  | n=0 | γ̇ </t>
        </is>
      </c>
    </row>
    <row r="25">
      <c r="B25" t="inlineStr">
        <is>
          <t>A</t>
        </is>
      </c>
      <c r="C25" t="inlineStr">
        <is>
          <t>01</t>
        </is>
      </c>
      <c r="D25" t="inlineStr">
        <is>
          <t>HT-SYN-01.csv</t>
        </is>
      </c>
      <c r="E25" t="inlineStr">
        <is>
          <t>A_HB_R2_DN_COMMON [S]</t>
        </is>
      </c>
      <c r="F25" t="inlineStr">
        <is>
          <t>NO VALUE</t>
        </is>
      </c>
      <c r="G25" s="7" t="inlineStr">
        <is>
          <t xml:space="preserve">Down Common: INVALID — 유효점 4개 미만 — 피팅 진단값, Lot 판정 제외 | Common H-B | Steps  | RPM  | n=0 | γ̇ </t>
        </is>
      </c>
    </row>
    <row r="26">
      <c r="B26" t="inlineStr">
        <is>
          <t>A</t>
        </is>
      </c>
      <c r="C26" t="inlineStr">
        <is>
          <t>01</t>
        </is>
      </c>
      <c r="D26" t="inlineStr">
        <is>
          <t>HT-SYN-01.csv</t>
        </is>
      </c>
      <c r="E26" t="inlineStr">
        <is>
          <t>A_HB_TAUY_RATIO [S]</t>
        </is>
      </c>
      <c r="F26" t="inlineStr">
        <is>
          <t>NO VALUE</t>
        </is>
      </c>
      <c r="G26" s="7" t="inlineStr">
        <is>
          <t xml:space="preserve">Full H-B Up Full N=10 | Full H-B | Steps S2,S3,S4,S5,S6,S7,S8,S9,S10,S11 | RPM 0.2,0.35,0.5,0.7,1,1.5,2,3,4,5 | n=10 | γ̇ 0.4–10; Down Full: INVALID — 유효점 4개 미만 | Full H-B | Steps  | RPM  | n=0 | γ̇ </t>
        </is>
      </c>
    </row>
    <row r="27">
      <c r="B27" t="inlineStr">
        <is>
          <t>A</t>
        </is>
      </c>
      <c r="C27" t="inlineStr">
        <is>
          <t>01</t>
        </is>
      </c>
      <c r="D27" t="inlineStr">
        <is>
          <t>HT-SYN-01.csv</t>
        </is>
      </c>
      <c r="E27" t="inlineStr">
        <is>
          <t>A_HB_K_RATIO [S]</t>
        </is>
      </c>
      <c r="F27" t="inlineStr">
        <is>
          <t>NO VALUE</t>
        </is>
      </c>
      <c r="G27" s="7" t="inlineStr">
        <is>
          <t xml:space="preserve">Full H-B Up Full N=10 | Full H-B | Steps S2,S3,S4,S5,S6,S7,S8,S9,S10,S11 | RPM 0.2,0.35,0.5,0.7,1,1.5,2,3,4,5 | n=10 | γ̇ 0.4–10; Down Full: INVALID — 유효점 4개 미만 | Full H-B | Steps  | RPM  | n=0 | γ̇ </t>
        </is>
      </c>
    </row>
    <row r="28">
      <c r="B28" t="inlineStr">
        <is>
          <t>A</t>
        </is>
      </c>
      <c r="C28" t="inlineStr">
        <is>
          <t>01</t>
        </is>
      </c>
      <c r="D28" t="inlineStr">
        <is>
          <t>HT-SYN-01.csv</t>
        </is>
      </c>
      <c r="E28" t="inlineStr">
        <is>
          <t>A_HB_N_DIFF [S]</t>
        </is>
      </c>
      <c r="F28" t="inlineStr">
        <is>
          <t>NO VALUE</t>
        </is>
      </c>
      <c r="G28" s="7" t="inlineStr">
        <is>
          <t xml:space="preserve">Full H-B Up Full N=10 | Full H-B | Steps S2,S3,S4,S5,S6,S7,S8,S9,S10,S11 | RPM 0.2,0.35,0.5,0.7,1,1.5,2,3,4,5 | n=10 | γ̇ 0.4–10; Down Full: INVALID — 유효점 4개 미만 | Full H-B | Steps  | RPM  | n=0 | γ̇ </t>
        </is>
      </c>
    </row>
    <row r="29">
      <c r="B29" t="inlineStr">
        <is>
          <t>A</t>
        </is>
      </c>
      <c r="C29" t="inlineStr">
        <is>
          <t>01</t>
        </is>
      </c>
      <c r="D29" t="inlineStr">
        <is>
          <t>HT-SYN-01.csv</t>
        </is>
      </c>
      <c r="E29" t="inlineStr">
        <is>
          <t>A_HB_TAUY_RATIO_COMMON [S]</t>
        </is>
      </c>
      <c r="F29" t="inlineStr">
        <is>
          <t>NO VALUE</t>
        </is>
      </c>
      <c r="G29" s="7" t="inlineStr">
        <is>
          <t xml:space="preserve">Up Common: INVALID — 유효점 4개 미만 | Common H-B | Steps  | RPM  | n=0 | γ̇ ; Down Common: INVALID — 유효점 4개 미만 | Common H-B | Steps  | RPM  | n=0 | γ̇ </t>
        </is>
      </c>
    </row>
    <row r="30">
      <c r="B30" t="inlineStr">
        <is>
          <t>A</t>
        </is>
      </c>
      <c r="C30" t="inlineStr">
        <is>
          <t>01</t>
        </is>
      </c>
      <c r="D30" t="inlineStr">
        <is>
          <t>HT-SYN-01.csv</t>
        </is>
      </c>
      <c r="E30" t="inlineStr">
        <is>
          <t>A_HB_GRANGE [S]</t>
        </is>
      </c>
      <c r="F30" t="inlineStr">
        <is>
          <t>NOTICE</t>
        </is>
      </c>
      <c r="G30" s="7" t="inlineStr">
        <is>
          <t>25.00× ≥10 — 외삽 범위 양호(진단값) | Full H-B | Steps S2,S3,S4,S5,S6,S7,S8,S9,S10,S11 | RPM 0.2,0.35,0.5,0.7,1,1.5,2,3,4,5 | n=10 | γ̇ 0.4–10</t>
        </is>
      </c>
    </row>
    <row r="31">
      <c r="B31" t="inlineStr">
        <is>
          <t>A</t>
        </is>
      </c>
      <c r="C31" t="inlineStr">
        <is>
          <t>01</t>
        </is>
      </c>
      <c r="D31" t="inlineStr">
        <is>
          <t>HT-SYN-01.csv</t>
        </is>
      </c>
      <c r="E31" t="inlineStr">
        <is>
          <t>A_ETA_LOW_DN [S]</t>
        </is>
      </c>
      <c r="F31" t="inlineStr">
        <is>
          <t>NO VALUE</t>
        </is>
      </c>
      <c r="G31" s="7" t="inlineStr">
        <is>
          <t>Down 분석 가능 Step 없음</t>
        </is>
      </c>
    </row>
    <row r="32">
      <c r="B32" t="inlineStr">
        <is>
          <t>A</t>
        </is>
      </c>
      <c r="C32" t="inlineStr">
        <is>
          <t>01</t>
        </is>
      </c>
      <c r="D32" t="inlineStr">
        <is>
          <t>HT-SYN-01.csv</t>
        </is>
      </c>
      <c r="E32" t="inlineStr">
        <is>
          <t>A_POST_SHEAR_STARTUP_STRESS [S]</t>
        </is>
      </c>
      <c r="F32" t="inlineStr">
        <is>
          <t>NO VALUE</t>
        </is>
      </c>
      <c r="G32" s="7" t="inlineStr">
        <is>
          <t>Down 분석 가능 Step 없음</t>
        </is>
      </c>
    </row>
    <row r="33">
      <c r="B33" t="inlineStr">
        <is>
          <t>A</t>
        </is>
      </c>
      <c r="C33" t="inlineStr">
        <is>
          <t>01</t>
        </is>
      </c>
      <c r="D33" t="inlineStr">
        <is>
          <t>HT-SYN-01.csv</t>
        </is>
      </c>
      <c r="E33" t="inlineStr">
        <is>
          <t>A_ETA_RECOVERY_LOW [S]</t>
        </is>
      </c>
      <c r="F33" t="inlineStr">
        <is>
          <t>NO VALUE</t>
        </is>
      </c>
      <c r="G33" s="7" t="inlineStr">
        <is>
          <t>공통 RPM 없음 — 보간하지 않음</t>
        </is>
      </c>
    </row>
    <row r="34">
      <c r="B34" t="inlineStr">
        <is>
          <t>A</t>
        </is>
      </c>
      <c r="C34" t="inlineStr">
        <is>
          <t>01</t>
        </is>
      </c>
      <c r="D34" t="inlineStr">
        <is>
          <t>HT-SYN-01.csv</t>
        </is>
      </c>
      <c r="E34" t="inlineStr">
        <is>
          <t>A_POST_SHEAR_STRESS_RETENTION [S]</t>
        </is>
      </c>
      <c r="F34" t="inlineStr">
        <is>
          <t>NO VALUE</t>
        </is>
      </c>
      <c r="G34" s="7" t="inlineStr">
        <is>
          <t>공통 RPM 없음 — 보간하지 않음</t>
        </is>
      </c>
    </row>
    <row r="35">
      <c r="B35" t="inlineStr">
        <is>
          <t>A</t>
        </is>
      </c>
      <c r="C35" t="inlineStr">
        <is>
          <t>01</t>
        </is>
      </c>
      <c r="D35" t="inlineStr">
        <is>
          <t>HT-SYN-01.csv</t>
        </is>
      </c>
      <c r="E35" t="inlineStr">
        <is>
          <t>A_STARTUP_PLATEAU_UP [S]</t>
        </is>
      </c>
      <c r="F35" t="inlineStr">
        <is>
          <t>NO VALUE</t>
        </is>
      </c>
      <c r="G35" s="7" t="inlineStr">
        <is>
          <t>start-up profile 없음</t>
        </is>
      </c>
    </row>
    <row r="36">
      <c r="B36" t="inlineStr">
        <is>
          <t>A</t>
        </is>
      </c>
      <c r="C36" t="inlineStr">
        <is>
          <t>01</t>
        </is>
      </c>
      <c r="D36" t="inlineStr">
        <is>
          <t>HT-SYN-01.csv</t>
        </is>
      </c>
      <c r="E36" t="inlineStr">
        <is>
          <t>A_POST_SHEAR_PLATEAU [S]</t>
        </is>
      </c>
      <c r="F36" t="inlineStr">
        <is>
          <t>NO VALUE</t>
        </is>
      </c>
      <c r="G36" s="7" t="inlineStr">
        <is>
          <t>start-up profile 없음</t>
        </is>
      </c>
    </row>
    <row r="37">
      <c r="B37" t="inlineStr">
        <is>
          <t>A</t>
        </is>
      </c>
      <c r="C37" t="inlineStr">
        <is>
          <t>01</t>
        </is>
      </c>
      <c r="D37" t="inlineStr">
        <is>
          <t>HT-SYN-01.csv</t>
        </is>
      </c>
      <c r="E37" t="inlineStr">
        <is>
          <t>A_PLATEAU_RETENTION [S]</t>
        </is>
      </c>
      <c r="F37" t="inlineStr">
        <is>
          <t>NO VALUE</t>
        </is>
      </c>
      <c r="G37" s="7" t="inlineStr">
        <is>
          <t>start-up profile 없음</t>
        </is>
      </c>
    </row>
  </sheetData>
  <mergeCells count="2">
    <mergeCell ref="B3:H3"/>
    <mergeCell ref="B2:H2"/>
  </mergeCells>
  <conditionalFormatting sqref="F6:F37">
    <cfRule type="expression" priority="1" dxfId="0" stopIfTrue="1">
      <formula>$F6="VALID"</formula>
    </cfRule>
    <cfRule type="expression" priority="2" dxfId="0" stopIfTrue="1">
      <formula>$F6="GOOD"</formula>
    </cfRule>
    <cfRule type="expression" priority="3" dxfId="0" stopIfTrue="1">
      <formula>$F6="OK"</formula>
    </cfRule>
    <cfRule type="expression" priority="4" dxfId="0" stopIfTrue="1">
      <formula>$F6="ELIGIBLE"</formula>
    </cfRule>
    <cfRule type="expression" priority="5" dxfId="1" stopIfTrue="1">
      <formula>$F6="NOTICE"</formula>
    </cfRule>
    <cfRule type="expression" priority="6" dxfId="2" stopIfTrue="1">
      <formula>$F6="REVIEW"</formula>
    </cfRule>
    <cfRule type="expression" priority="7" dxfId="2" stopIfTrue="1">
      <formula>$F6="WARNING"</formula>
    </cfRule>
    <cfRule type="expression" priority="8" dxfId="3" stopIfTrue="1">
      <formula>$F6="EXCEPTION"</formula>
    </cfRule>
    <cfRule type="expression" priority="9" dxfId="3" stopIfTrue="1">
      <formula>$F6="EXCLUDED"</formula>
    </cfRule>
    <cfRule type="expression" priority="10" dxfId="4" stopIfTrue="1">
      <formula>$F6="INVALID"</formula>
    </cfRule>
    <cfRule type="expression" priority="11" dxfId="4" stopIfTrue="1">
      <formula>$F6="HIGH VAR"</formula>
    </cfRule>
    <cfRule type="expression" priority="12" dxfId="5" stopIfTrue="1">
      <formula>$F6="NO DATA"</formula>
    </cfRule>
    <cfRule type="expression" priority="13" dxfId="5" stopIfTrue="1">
      <formula>$F6="N/A"</formula>
    </cfRule>
    <cfRule type="expression" priority="14" dxfId="5" stopIfTrue="1">
      <formula>$F6="NO VALUE"</formula>
    </cfRule>
    <cfRule type="expression" priority="15" dxfId="6" stopIfTrue="1">
      <formula>$F6="CENSORED"</formula>
    </cfRule>
    <cfRule type="expression" priority="16" dxfId="7" stopIfTrue="1">
      <formula>$F6="—"</formula>
    </cfRule>
  </conditionalFormatting>
  <hyperlinks>
    <hyperlink ref="B1" location="'Lot_QC_Summary'!B2"/>
    <hyperlink ref="C1" location="'QC_Dictionary'!B2"/>
    <hyperlink ref="D1" location="'A_Replicates'!B2"/>
    <hyperlink ref="E1" location="'B_Replicates'!B2"/>
    <hyperlink ref="F1" location="'Density_Replicates'!B2"/>
    <hyperlink ref="G1" location="'A_Replicates_INCL'!B2"/>
    <hyperlink ref="H1" location="'A_Replicates_EXC'!B2"/>
    <hyperlink ref="I1" location="'Metric_Statistics'!B2"/>
    <hyperlink ref="J1" location="'A_Step_Replicates'!B2"/>
    <hyperlink ref="K1" location="'A_Step_Statistics'!B2"/>
    <hyperlink ref="L1" location="'Replicate_Flags'!B2"/>
    <hyperlink ref="M1" location="'Traceability'!B2"/>
  </hyperlink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M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8" customWidth="1" min="3" max="3"/>
    <col width="24" customWidth="1" min="4" max="4"/>
    <col width="18" customWidth="1" min="5" max="5"/>
    <col width="10" customWidth="1" min="6" max="6"/>
    <col width="66" customWidth="1" min="7" max="7"/>
    <col width="30" customWidth="1" min="8" max="8"/>
    <col width="36" customWidth="1" min="9" max="9"/>
    <col width="14" customWidth="1" min="10" max="10"/>
    <col width="18" customWidth="1" min="11" max="11"/>
    <col width="18" customWidth="1" min="12" max="12"/>
    <col width="18" customWidth="1" min="13" max="13"/>
  </cols>
  <sheetData>
    <row r="1">
      <c r="B1" s="1" t="inlineStr">
        <is>
          <t>Lot_QC_Summary</t>
        </is>
      </c>
      <c r="C1" s="1" t="inlineStr">
        <is>
          <t>QC_Dictionary</t>
        </is>
      </c>
      <c r="D1" s="1" t="inlineStr">
        <is>
          <t>A_Replicates</t>
        </is>
      </c>
      <c r="E1" s="1" t="inlineStr">
        <is>
          <t>B_Replicates</t>
        </is>
      </c>
      <c r="F1" s="1" t="inlineStr">
        <is>
          <t>Density_Replicates</t>
        </is>
      </c>
      <c r="G1" s="1" t="inlineStr">
        <is>
          <t>A_Replicates_INCL</t>
        </is>
      </c>
      <c r="H1" s="1" t="inlineStr">
        <is>
          <t>A_Replicates_EXC</t>
        </is>
      </c>
      <c r="I1" s="1" t="inlineStr">
        <is>
          <t>Metric_Statistics</t>
        </is>
      </c>
      <c r="J1" s="1" t="inlineStr">
        <is>
          <t>A_Step_Replicates</t>
        </is>
      </c>
      <c r="K1" s="1" t="inlineStr">
        <is>
          <t>A_Step_Statistics</t>
        </is>
      </c>
      <c r="L1" s="1" t="inlineStr">
        <is>
          <t>Replicate_Flags</t>
        </is>
      </c>
      <c r="M1" s="1" t="inlineStr">
        <is>
          <t>Traceability</t>
        </is>
      </c>
    </row>
    <row r="2" ht="28" customHeight="1">
      <c r="B2" s="2" t="inlineStr">
        <is>
          <t>Traceability — 원본·분석기·규칙 추적</t>
        </is>
      </c>
    </row>
    <row r="3" ht="30" customHeight="1">
      <c r="B3" s="3" t="inlineStr">
        <is>
          <t>원본 SHA-256, 분석기 버전·해시, 고정 규칙, 실행 명령을 기록합니다.</t>
        </is>
      </c>
    </row>
    <row r="5">
      <c r="B5" s="25" t="inlineStr">
        <is>
          <t>분석기</t>
        </is>
      </c>
      <c r="C5" s="7" t="inlineStr">
        <is>
          <t>HB-analysis-06-6 (HB-analysis-06-6_integrated_reviewed.py)</t>
        </is>
      </c>
    </row>
    <row r="6">
      <c r="B6" s="25" t="inlineStr">
        <is>
          <t>분석기 SHA-256</t>
        </is>
      </c>
      <c r="C6" s="7" t="inlineStr"/>
    </row>
    <row r="7">
      <c r="B7" s="25" t="inlineStr">
        <is>
          <t>QC layer</t>
        </is>
      </c>
      <c r="C7" s="7" t="inlineStr">
        <is>
          <t>LotQC-2.8</t>
        </is>
      </c>
    </row>
    <row r="8">
      <c r="B8" s="25" t="inlineStr">
        <is>
          <t>분석 경로(정책)</t>
        </is>
      </c>
      <c r="C8" s="7" t="inlineStr">
        <is>
          <t>INCLUSIVE | hash 0a7fe4fd8ee0395a</t>
        </is>
      </c>
    </row>
    <row r="9">
      <c r="B9" s="25" t="inlineStr">
        <is>
          <t>정책 JSON</t>
        </is>
      </c>
      <c r="C9" s="7" t="inlineStr">
        <is>
          <t>{"accepted_hold_s": [30.0, 45.0, 60.0], "allow_short_hold_analysis": true, "audit_level": "full", "censored_in_inclusive_fit": true, "exception_stat_policy": "separate", "generate_inclusive_values": true, "generate_strict_values": true, "hold_target_s": 60.0, "hold_tolerance_s": 0.5, "include_censored_in_lot_stats": true, "include_exception_in_lot_stats": true, "include_notice_in_lot_acceptance": false, "include_out_of_range_in_inclusive": true, "include_out_of_torque_analysis": true, "lot_stats_mode": "both", "min_hb_points": 4, "min_hold_s": 10.0, "min_window_s": 3.0, "name": "INCLUSIVE", "primary_channel": "inclusive", "recommended_hb_points": 5, "report_values": "both", "require_stabilization": true, "sampling_gap_review_s": null, "short_hold_window_fraction": 0.25, "ssi_allow_interpolation": false, "ssi_allow_model_estimation": false, "ssi_calculate_all": true, "ssi_decade_ratio": 10.0, "ssi_explicit_pair": null, "ssi_include_down": false, "ssi_pool_different_pairs": false, "ssi_preferred_pairs": [[0.2, 2.0], [0.5, 5.0]], "ssi_primary_selection": "none", "ssi_ratio_tolerance_pct": 1.0, "stabilization_min_s": null, "stabilization_target_s": 600.0, "stabilization_temp_target_C": 25.0, "stabilization_temp_tolerance_C": null, "tail_seconds": 10.0, "torque_max_pct": 95.0, "torque_min_pct": 10.0}</t>
        </is>
      </c>
    </row>
    <row r="10">
      <c r="B10" s="25" t="inlineStr">
        <is>
          <t>실행 시각</t>
        </is>
      </c>
      <c r="C10" s="7" t="inlineStr"/>
    </row>
    <row r="11">
      <c r="B11" s="25" t="inlineStr">
        <is>
          <t>실행 명령</t>
        </is>
      </c>
      <c r="C11" s="7" t="inlineStr"/>
    </row>
    <row r="12">
      <c r="B12" s="25" t="inlineStr">
        <is>
          <t>Method A 규칙</t>
        </is>
      </c>
      <c r="C12" s="7" t="inlineStr">
        <is>
          <t>회전 Step 60초, 후반 10초, H-B 최소 4점/권장 5점</t>
        </is>
      </c>
    </row>
    <row r="13">
      <c r="B13" s="25" t="inlineStr">
        <is>
          <t>Torque 유효범위</t>
        </is>
      </c>
      <c r="C13" s="7" t="inlineStr">
        <is>
          <t>10–95%</t>
        </is>
      </c>
    </row>
    <row r="14">
      <c r="B14" s="25" t="inlineStr">
        <is>
          <t>고정 평가점</t>
        </is>
      </c>
      <c r="C14" s="7" t="inlineStr">
        <is>
          <t>Low=0.5 rpm, Mid=2 rpm; 고전단은 실제 측정 최고 RPM</t>
        </is>
      </c>
    </row>
    <row r="15">
      <c r="B15" s="25" t="inlineStr">
        <is>
          <t>임시 기준</t>
        </is>
      </c>
      <c r="C15" s="7" t="inlineStr">
        <is>
          <t>드리프트 REVIEW &gt;2%, 시험온도 25±0.5 °C, 온도폭 ≤1 °C, 밀도 교차확인 ±0.0005 g/mL</t>
        </is>
      </c>
    </row>
    <row r="18" ht="28" customHeight="1">
      <c r="B18" s="8" t="inlineStr">
        <is>
          <t>method</t>
        </is>
      </c>
      <c r="C18" s="8" t="inlineStr">
        <is>
          <t>repeat</t>
        </is>
      </c>
      <c r="D18" s="8" t="inlineStr">
        <is>
          <t>file</t>
        </is>
      </c>
      <c r="E18" s="8" t="inlineStr">
        <is>
          <t>route</t>
        </is>
      </c>
      <c r="F18" s="8" t="inlineStr">
        <is>
          <t>data_qc</t>
        </is>
      </c>
      <c r="G18" s="8" t="inlineStr">
        <is>
          <t>raw_sha256</t>
        </is>
      </c>
      <c r="H18" s="8" t="inlineStr">
        <is>
          <t>template</t>
        </is>
      </c>
      <c r="I18" s="8" t="inlineStr">
        <is>
          <t>report</t>
        </is>
      </c>
      <c r="J18" s="8" t="inlineStr">
        <is>
          <t>exception_steps</t>
        </is>
      </c>
    </row>
    <row r="19">
      <c r="B19" t="inlineStr">
        <is>
          <t>A</t>
        </is>
      </c>
      <c r="C19" t="inlineStr">
        <is>
          <t>01</t>
        </is>
      </c>
      <c r="D19" t="inlineStr">
        <is>
          <t>HT-SYN-01.csv</t>
        </is>
      </c>
      <c r="E19" t="inlineStr">
        <is>
          <t>INCLUSIVE</t>
        </is>
      </c>
      <c r="F19" t="inlineStr">
        <is>
          <t>VALID</t>
        </is>
      </c>
      <c r="H19" t="inlineStr"/>
      <c r="I19" t="inlineStr"/>
      <c r="J19" t="inlineStr"/>
    </row>
  </sheetData>
  <mergeCells count="13">
    <mergeCell ref="C12:J12"/>
    <mergeCell ref="B3:J3"/>
    <mergeCell ref="C7:J7"/>
    <mergeCell ref="C15:J15"/>
    <mergeCell ref="C11:J11"/>
    <mergeCell ref="C6:J6"/>
    <mergeCell ref="C10:J10"/>
    <mergeCell ref="C8:J8"/>
    <mergeCell ref="C14:J14"/>
    <mergeCell ref="C5:J5"/>
    <mergeCell ref="C13:J13"/>
    <mergeCell ref="B2:J2"/>
    <mergeCell ref="C9:J9"/>
  </mergeCells>
  <hyperlinks>
    <hyperlink ref="B1" location="'Lot_QC_Summary'!B2"/>
    <hyperlink ref="C1" location="'QC_Dictionary'!B2"/>
    <hyperlink ref="D1" location="'A_Replicates'!B2"/>
    <hyperlink ref="E1" location="'B_Replicates'!B2"/>
    <hyperlink ref="F1" location="'Density_Replicates'!B2"/>
    <hyperlink ref="G1" location="'A_Replicates_INCL'!B2"/>
    <hyperlink ref="H1" location="'A_Replicates_EXC'!B2"/>
    <hyperlink ref="I1" location="'Metric_Statistics'!B2"/>
    <hyperlink ref="J1" location="'A_Step_Replicates'!B2"/>
    <hyperlink ref="K1" location="'A_Step_Statistics'!B2"/>
    <hyperlink ref="L1" location="'Replicate_Flags'!B2"/>
    <hyperlink ref="M1" location="'Traceability'!B2"/>
  </hyperlink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CA5"/>
  <sheetViews>
    <sheetView showGridLines="0" workbookViewId="0">
      <pane xSplit="5" ySplit="5" topLeftCell="F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11" customWidth="1" min="3" max="3"/>
    <col width="1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8" customWidth="1" min="30" max="30"/>
    <col width="11" customWidth="1" min="31" max="31"/>
    <col width="11" customWidth="1" min="32" max="32"/>
    <col width="11" customWidth="1" min="33" max="33"/>
    <col width="30" customWidth="1" min="34" max="34"/>
    <col width="60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</cols>
  <sheetData>
    <row r="1">
      <c r="B1" s="1" t="inlineStr">
        <is>
          <t>Lot_QC_Summary</t>
        </is>
      </c>
      <c r="C1" s="1" t="inlineStr">
        <is>
          <t>QC_Dictionary</t>
        </is>
      </c>
      <c r="D1" s="1" t="inlineStr">
        <is>
          <t>A_Replicates</t>
        </is>
      </c>
      <c r="E1" s="1" t="inlineStr">
        <is>
          <t>B_Replicates</t>
        </is>
      </c>
      <c r="F1" s="1" t="inlineStr">
        <is>
          <t>Density_Replicates</t>
        </is>
      </c>
      <c r="G1" s="1" t="inlineStr">
        <is>
          <t>A_Replicates_INCL</t>
        </is>
      </c>
      <c r="H1" s="1" t="inlineStr">
        <is>
          <t>A_Replicates_EXC</t>
        </is>
      </c>
      <c r="I1" s="1" t="inlineStr">
        <is>
          <t>Metric_Statistics</t>
        </is>
      </c>
      <c r="J1" s="1" t="inlineStr">
        <is>
          <t>A_Step_Replicates</t>
        </is>
      </c>
    </row>
    <row r="2" ht="28" customHeight="1">
      <c r="B2" s="2" t="inlineStr">
        <is>
          <t>StepAudit — 모든 회전 Step의 포함/제외·창·Torque 감사 — HT-SYN 전 반복</t>
        </is>
      </c>
    </row>
    <row r="3" ht="30" customHeight="1">
      <c r="B3" s="3" t="inlineStr">
        <is>
          <t>Step은 버려지지 않고 한 줄씩 남습니다. strict=60 s·Torque 범위 내 점만, inclusive=정책 허용 hold·전 점. status/label/reason이 왜 어느 채널에 포함·제외됐는지를 말합니다.</t>
        </is>
      </c>
    </row>
    <row r="5" ht="28" customHeight="1">
      <c r="B5" s="8" t="inlineStr">
        <is>
          <t>lot</t>
        </is>
      </c>
      <c r="C5" s="8" t="inlineStr">
        <is>
          <t>repeat</t>
        </is>
      </c>
      <c r="D5" s="8" t="inlineStr">
        <is>
          <t>file</t>
        </is>
      </c>
      <c r="E5" s="8" t="inlineStr">
        <is>
          <t>step</t>
        </is>
      </c>
      <c r="F5" s="8" t="inlineStr">
        <is>
          <t>direction</t>
        </is>
      </c>
      <c r="G5" s="8" t="inlineStr">
        <is>
          <t>rpm</t>
        </is>
      </c>
      <c r="H5" s="8" t="inlineStr">
        <is>
          <t>shear_rate</t>
        </is>
      </c>
      <c r="I5" s="8" t="inlineStr">
        <is>
          <t>hold_config_s</t>
        </is>
      </c>
      <c r="J5" s="8" t="inlineStr">
        <is>
          <t>hold_observed_s</t>
        </is>
      </c>
      <c r="K5" s="8" t="inlineStr">
        <is>
          <t>hold_class</t>
        </is>
      </c>
      <c r="L5" s="8" t="inlineStr">
        <is>
          <t>tail_window_s</t>
        </is>
      </c>
      <c r="M5" s="8" t="inlineStr">
        <is>
          <t>tail_start_s</t>
        </is>
      </c>
      <c r="N5" s="8" t="inlineStr">
        <is>
          <t>tail_end_s</t>
        </is>
      </c>
      <c r="O5" s="8" t="inlineStr">
        <is>
          <t>torque_min_pct</t>
        </is>
      </c>
      <c r="P5" s="8" t="inlineStr">
        <is>
          <t>torque_max_pct</t>
        </is>
      </c>
      <c r="Q5" s="8" t="inlineStr">
        <is>
          <t>n_all</t>
        </is>
      </c>
      <c r="R5" s="8" t="inlineStr">
        <is>
          <t>n_in_range</t>
        </is>
      </c>
      <c r="S5" s="8" t="inlineStr">
        <is>
          <t>n_low_torque</t>
        </is>
      </c>
      <c r="T5" s="8" t="inlineStr">
        <is>
          <t>n_high_torque</t>
        </is>
      </c>
      <c r="U5" s="8" t="inlineStr">
        <is>
          <t>tau_pa_strict</t>
        </is>
      </c>
      <c r="V5" s="8" t="inlineStr">
        <is>
          <t>tau_pa_inclusive</t>
        </is>
      </c>
      <c r="W5" s="8" t="inlineStr">
        <is>
          <t>eta_cp_strict</t>
        </is>
      </c>
      <c r="X5" s="8" t="inlineStr">
        <is>
          <t>eta_cp_inclusive</t>
        </is>
      </c>
      <c r="Y5" s="8" t="inlineStr">
        <is>
          <t>torque_mean_all</t>
        </is>
      </c>
      <c r="Z5" s="8" t="inlineStr">
        <is>
          <t>torque_min_all</t>
        </is>
      </c>
      <c r="AA5" s="8" t="inlineStr">
        <is>
          <t>torque_max_all</t>
        </is>
      </c>
      <c r="AB5" s="8" t="inlineStr">
        <is>
          <t>strict_hold_valid</t>
        </is>
      </c>
      <c r="AC5" s="8" t="inlineStr">
        <is>
          <t>strict_torque_valid</t>
        </is>
      </c>
      <c r="AD5" s="8" t="inlineStr">
        <is>
          <t>analysis_torque_mode</t>
        </is>
      </c>
      <c r="AE5" s="8" t="inlineStr">
        <is>
          <t>included_in_strict</t>
        </is>
      </c>
      <c r="AF5" s="8" t="inlineStr">
        <is>
          <t>included_in_inclusive</t>
        </is>
      </c>
      <c r="AG5" s="8" t="inlineStr">
        <is>
          <t>status</t>
        </is>
      </c>
      <c r="AH5" s="8" t="inlineStr">
        <is>
          <t>label</t>
        </is>
      </c>
      <c r="AI5" s="8" t="inlineStr">
        <is>
          <t>reason</t>
        </is>
      </c>
      <c r="AJ5" s="8" t="inlineStr">
        <is>
          <t>valueclassstrict</t>
        </is>
      </c>
      <c r="AK5" s="8" t="inlineStr">
        <is>
          <t>valueclassinclusive</t>
        </is>
      </c>
      <c r="AL5" s="8" t="inlineStr">
        <is>
          <t>usedlowtorque</t>
        </is>
      </c>
      <c r="AM5" s="8" t="inlineStr">
        <is>
          <t>usedhightorque</t>
        </is>
      </c>
      <c r="AN5" s="8" t="inlineStr">
        <is>
          <t>sequence_direction</t>
        </is>
      </c>
      <c r="AO5" s="8" t="inlineStr">
        <is>
          <t>used_in_up_branch</t>
        </is>
      </c>
      <c r="AP5" s="8" t="inlineStr">
        <is>
          <t>used_in_down_branch</t>
        </is>
      </c>
      <c r="AQ5" s="8" t="inlineStr">
        <is>
          <t>used_in_strict_full_hb</t>
        </is>
      </c>
      <c r="AR5" s="8" t="inlineStr">
        <is>
          <t>used_in_inclusive_full_hb</t>
        </is>
      </c>
      <c r="AS5" s="8" t="inlineStr">
        <is>
          <t>used_in_strict_up_full_hb</t>
        </is>
      </c>
      <c r="AT5" s="8" t="inlineStr">
        <is>
          <t>used_in_strict_down_full_hb</t>
        </is>
      </c>
      <c r="AU5" s="8" t="inlineStr">
        <is>
          <t>used_in_inclusive_up_full_hb</t>
        </is>
      </c>
      <c r="AV5" s="8" t="inlineStr">
        <is>
          <t>used_in_inclusive_down_full_hb</t>
        </is>
      </c>
      <c r="AW5" s="8" t="inlineStr">
        <is>
          <t>used_in_common_hb</t>
        </is>
      </c>
      <c r="AX5" s="8" t="inlineStr">
        <is>
          <t>used_in_hysteresis</t>
        </is>
      </c>
      <c r="AY5" s="8" t="inlineStr">
        <is>
          <t>turnaround_shared</t>
        </is>
      </c>
      <c r="AZ5" s="8" t="inlineStr">
        <is>
          <t>used_for_eta_high</t>
        </is>
      </c>
      <c r="BA5" s="8" t="inlineStr">
        <is>
          <t>used_for_tau_high</t>
        </is>
      </c>
      <c r="BB5" s="8" t="inlineStr">
        <is>
          <t>used_for_ssi</t>
        </is>
      </c>
      <c r="BC5" s="8" t="inlineStr">
        <is>
          <t>used_for_ssi_dynamic</t>
        </is>
      </c>
      <c r="BD5" s="8" t="inlineStr">
        <is>
          <t>step_type</t>
        </is>
      </c>
      <c r="BE5" s="8" t="inlineStr">
        <is>
          <t>target_temperature_C</t>
        </is>
      </c>
      <c r="BF5" s="8" t="inlineStr">
        <is>
          <t>mean_temperature_C</t>
        </is>
      </c>
      <c r="BG5" s="8" t="inlineStr">
        <is>
          <t>min_temperature_C</t>
        </is>
      </c>
      <c r="BH5" s="8" t="inlineStr">
        <is>
          <t>max_temperature_C</t>
        </is>
      </c>
      <c r="BI5" s="8" t="inlineStr">
        <is>
          <t>sampling_interval_s</t>
        </is>
      </c>
      <c r="BJ5" s="8" t="inlineStr">
        <is>
          <t>n_points</t>
        </is>
      </c>
      <c r="BK5" s="8" t="inlineStr">
        <is>
          <t>stabilization_status</t>
        </is>
      </c>
      <c r="BL5" s="8" t="inlineStr">
        <is>
          <t>stabilization_reason</t>
        </is>
      </c>
      <c r="BM5" s="8" t="inlineStr">
        <is>
          <t>used_in_ssi_field_0p2_2</t>
        </is>
      </c>
      <c r="BN5" s="8" t="inlineStr">
        <is>
          <t>used_in_ssi_qc_0p5_5</t>
        </is>
      </c>
      <c r="BO5" s="8" t="inlineStr">
        <is>
          <t>used_in_decade_ssi</t>
        </is>
      </c>
      <c r="BP5" s="8" t="inlineStr">
        <is>
          <t>value_class_strict</t>
        </is>
      </c>
      <c r="BQ5" s="8" t="inlineStr">
        <is>
          <t>value_class_inclusive</t>
        </is>
      </c>
      <c r="BR5" s="8" t="inlineStr">
        <is>
          <t>full_hb_direction</t>
        </is>
      </c>
      <c r="BS5" s="8" t="inlineStr">
        <is>
          <t>exclusion_reason_full_hb</t>
        </is>
      </c>
      <c r="BT5" s="8" t="inlineStr">
        <is>
          <t>exclusion_reason_common_hb</t>
        </is>
      </c>
      <c r="BU5" s="8" t="inlineStr">
        <is>
          <t>exclusion_reason_hysteresis</t>
        </is>
      </c>
      <c r="BV5" s="8" t="inlineStr">
        <is>
          <t>gamma</t>
        </is>
      </c>
      <c r="BW5" s="8" t="inlineStr">
        <is>
          <t>used_in_decade_ssi_up</t>
        </is>
      </c>
      <c r="BX5" s="8" t="inlineStr">
        <is>
          <t>used_in_decade_ssi_down</t>
        </is>
      </c>
      <c r="BY5" s="8" t="inlineStr">
        <is>
          <t>exact_rpm_candidate_for</t>
        </is>
      </c>
      <c r="BZ5" s="8" t="inlineStr">
        <is>
          <t>exact_rpm_selected_for</t>
        </is>
      </c>
      <c r="CA5" s="8" t="inlineStr">
        <is>
          <t>exact_rpm_exclusion_reason</t>
        </is>
      </c>
    </row>
  </sheetData>
  <mergeCells count="2">
    <mergeCell ref="B3:P3"/>
    <mergeCell ref="B2:P2"/>
  </mergeCells>
  <hyperlinks>
    <hyperlink ref="B1" location="'Lot_QC_Summary'!B2"/>
    <hyperlink ref="C1" location="'QC_Dictionary'!B2"/>
    <hyperlink ref="D1" location="'A_Replicates'!B2"/>
    <hyperlink ref="E1" location="'B_Replicates'!B2"/>
    <hyperlink ref="F1" location="'Density_Replicates'!B2"/>
    <hyperlink ref="G1" location="'A_Replicates_INCL'!B2"/>
    <hyperlink ref="H1" location="'A_Replicates_EXC'!B2"/>
    <hyperlink ref="I1" location="'Metric_Statistics'!B2"/>
    <hyperlink ref="J1" location="'A_Step_Replicates'!B2"/>
  </hyperlinks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1:J3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B1" s="1" t="inlineStr">
        <is>
          <t>Lot_QC_Summary</t>
        </is>
      </c>
      <c r="C1" s="1" t="inlineStr">
        <is>
          <t>QC_Dictionary</t>
        </is>
      </c>
      <c r="D1" s="1" t="inlineStr">
        <is>
          <t>A_Replicates</t>
        </is>
      </c>
      <c r="E1" s="1" t="inlineStr">
        <is>
          <t>B_Replicates</t>
        </is>
      </c>
      <c r="F1" s="1" t="inlineStr">
        <is>
          <t>Density_Replicates</t>
        </is>
      </c>
      <c r="G1" s="1" t="inlineStr">
        <is>
          <t>A_Replicates_INCL</t>
        </is>
      </c>
      <c r="H1" s="1" t="inlineStr">
        <is>
          <t>A_Replicates_EXC</t>
        </is>
      </c>
      <c r="I1" s="1" t="inlineStr">
        <is>
          <t>Metric_Statistics</t>
        </is>
      </c>
      <c r="J1" s="1" t="inlineStr">
        <is>
          <t>A_Step_Replicates</t>
        </is>
      </c>
    </row>
    <row r="2" ht="28" customHeight="1">
      <c r="B2" s="2" t="inlineStr">
        <is>
          <t>QCPolicy — 이 결과에 적용된 분석 정책·임계값</t>
        </is>
      </c>
    </row>
    <row r="3" ht="30" customHeight="1">
      <c r="B3" s="3" t="inlineStr">
        <is>
          <t>정책 해시가 같으면 같은 규칙으로 계산된 결과입니다.</t>
        </is>
      </c>
    </row>
    <row r="5">
      <c r="B5" s="25" t="inlineStr">
        <is>
          <t>정책 이름</t>
        </is>
      </c>
      <c r="C5" s="7" t="inlineStr">
        <is>
          <t>INCLUSIVE</t>
        </is>
      </c>
    </row>
    <row r="6">
      <c r="B6" s="25" t="inlineStr">
        <is>
          <t>정책 해시(SHA-256 앞 16자)</t>
        </is>
      </c>
      <c r="C6" s="7" t="inlineStr">
        <is>
          <t>0a7fe4fd8ee0395a</t>
        </is>
      </c>
    </row>
    <row r="7">
      <c r="B7" s="25" t="inlineStr">
        <is>
          <t>Hold 목표(s)</t>
        </is>
      </c>
      <c r="C7" s="7" t="n">
        <v>60</v>
      </c>
    </row>
    <row r="8">
      <c r="B8" s="25" t="inlineStr">
        <is>
          <t>Hold 허용오차(s)</t>
        </is>
      </c>
      <c r="C8" s="7" t="n">
        <v>0.5</v>
      </c>
    </row>
    <row r="9">
      <c r="B9" s="25" t="inlineStr">
        <is>
          <t>승인 hold(s)</t>
        </is>
      </c>
      <c r="C9" s="7" t="inlineStr">
        <is>
          <t>30, 45, 60</t>
        </is>
      </c>
    </row>
    <row r="10">
      <c r="B10" s="25" t="inlineStr">
        <is>
          <t>짧은 hold 분석 허용</t>
        </is>
      </c>
      <c r="C10" s="7" t="inlineStr">
        <is>
          <t>Yes</t>
        </is>
      </c>
    </row>
    <row r="11">
      <c r="B11" s="25" t="inlineStr">
        <is>
          <t>Torque 유효범위(%)</t>
        </is>
      </c>
      <c r="C11" s="7" t="inlineStr">
        <is>
          <t>10–95</t>
        </is>
      </c>
    </row>
    <row r="12">
      <c r="B12" s="25" t="inlineStr">
        <is>
          <t>범위 밖 Torque 점 inclusive 포함</t>
        </is>
      </c>
      <c r="C12" s="7" t="inlineStr">
        <is>
          <t>Yes</t>
        </is>
      </c>
    </row>
    <row r="13">
      <c r="B13" s="25" t="inlineStr">
        <is>
          <t>대표창(s)</t>
        </is>
      </c>
      <c r="C13" s="7" t="n">
        <v>10</v>
      </c>
    </row>
    <row r="14">
      <c r="B14" s="25" t="inlineStr">
        <is>
          <t>미승인 짧은 hold 창 비율</t>
        </is>
      </c>
      <c r="C14" s="7" t="n">
        <v>0.25</v>
      </c>
    </row>
    <row r="15">
      <c r="B15" s="25" t="inlineStr">
        <is>
          <t>최소 창(s)</t>
        </is>
      </c>
      <c r="C15" s="7" t="n">
        <v>3</v>
      </c>
    </row>
    <row r="16">
      <c r="B16" s="25" t="inlineStr">
        <is>
          <t>최소 hold(s, 미만 INVALID)</t>
        </is>
      </c>
      <c r="C16" s="7" t="n">
        <v>10</v>
      </c>
    </row>
    <row r="17">
      <c r="B17" s="25" t="inlineStr">
        <is>
          <t>H-B 최소/권장 점</t>
        </is>
      </c>
      <c r="C17" s="7" t="inlineStr">
        <is>
          <t>4/5</t>
        </is>
      </c>
    </row>
    <row r="18">
      <c r="B18" s="25" t="inlineStr">
        <is>
          <t>CENSORED Step inclusive H-B 포함</t>
        </is>
      </c>
      <c r="C18" s="7" t="inlineStr">
        <is>
          <t>Yes</t>
        </is>
      </c>
    </row>
    <row r="19">
      <c r="B19" s="25" t="inlineStr">
        <is>
          <t>범위 밖 점 inclusive 대표값 포함</t>
        </is>
      </c>
      <c r="C19" s="7" t="inlineStr">
        <is>
          <t>Yes</t>
        </is>
      </c>
    </row>
    <row r="20">
      <c r="B20" s="25" t="inlineStr">
        <is>
          <t>CENSORED 참고값 inclusive Lot 통계 포함</t>
        </is>
      </c>
      <c r="C20" s="7" t="inlineStr">
        <is>
          <t>Yes</t>
        </is>
      </c>
    </row>
    <row r="21">
      <c r="B21" s="25" t="inlineStr">
        <is>
          <t>대표 채널</t>
        </is>
      </c>
      <c r="C21" s="7" t="inlineStr">
        <is>
          <t>inclusive</t>
        </is>
      </c>
    </row>
    <row r="22">
      <c r="B22" s="25" t="inlineStr">
        <is>
          <t>Lot 통계 모드</t>
        </is>
      </c>
      <c r="C22" s="7" t="inlineStr">
        <is>
          <t>both</t>
        </is>
      </c>
    </row>
    <row r="23">
      <c r="B23" s="25" t="inlineStr">
        <is>
          <t>EXCEPTION 통계 정책</t>
        </is>
      </c>
      <c r="C23" s="7" t="inlineStr">
        <is>
          <t>separate</t>
        </is>
      </c>
    </row>
    <row r="24">
      <c r="B24" s="25" t="inlineStr">
        <is>
          <t>보고 채널</t>
        </is>
      </c>
      <c r="C24" s="7" t="inlineStr">
        <is>
          <t>both</t>
        </is>
      </c>
    </row>
    <row r="25">
      <c r="B25" s="25" t="inlineStr">
        <is>
          <t>NOTICE 합격성 반영</t>
        </is>
      </c>
      <c r="C25" s="7" t="inlineStr">
        <is>
          <t>No</t>
        </is>
      </c>
    </row>
    <row r="26">
      <c r="B26" s="25" t="inlineStr">
        <is>
          <t>감사 수준</t>
        </is>
      </c>
      <c r="C26" s="7" t="inlineStr">
        <is>
          <t>full</t>
        </is>
      </c>
    </row>
    <row r="27">
      <c r="B27" s="25" t="inlineStr">
        <is>
          <t>임시 기준</t>
        </is>
      </c>
      <c r="C27" s="7" t="inlineStr">
        <is>
          <t>드리프트 REVIEW &gt;2%, 시험온도 25±0.5 °C, 온도폭 ≤1 °C, 밀도 교차확인 ±0.0005 g/mL, RPM 일치 ±0.011</t>
        </is>
      </c>
    </row>
    <row r="28">
      <c r="B28" s="25" t="inlineStr">
        <is>
          <t>고정 평가점</t>
        </is>
      </c>
      <c r="C28" s="7" t="inlineStr">
        <is>
          <t>Low=0.5 rpm, Mid=2 rpm; 고전단은 실제 측정 최고 RPM</t>
        </is>
      </c>
    </row>
    <row r="29">
      <c r="B29" s="25" t="inlineStr">
        <is>
          <t>분석기</t>
        </is>
      </c>
      <c r="C29" s="7" t="inlineStr">
        <is>
          <t>HB-analysis-06-6 / LotQC-2.8</t>
        </is>
      </c>
    </row>
    <row r="30" ht="75" customHeight="1">
      <c r="B30" s="25" t="inlineStr">
        <is>
          <t>정책 JSON</t>
        </is>
      </c>
      <c r="C30" s="7" t="inlineStr">
        <is>
          <t>{"accepted_hold_s": [30.0, 45.0, 60.0], "allow_short_hold_analysis": true, "audit_level": "full", "censored_in_inclusive_fit": true, "exception_stat_policy": "separate", "generate_inclusive_values": true, "generate_strict_values": true, "hold_target_s": 60.0, "hold_tolerance_s": 0.5, "include_censored_in_lot_stats": true, "include_exception_in_lot_stats": true, "include_notice_in_lot_acceptance": false, "include_out_of_range_in_inclusive": true, "include_out_of_torque_analysis": true, "lot_stats_mode": "both", "min_hb_points": 4, "min_hold_s": 10.0, "min_window_s": 3.0, "name": "INCLUSIVE", "primary_channel": "inclusive", "recommended_hb_points": 5, "report_values": "both", "require_stabilization": true, "sampling_gap_review_s": null, "short_hold_window_fraction": 0.25, "ssi_allow_interpolation": false, "ssi_allow_model_estimation": false, "ssi_calculate_all": true, "ssi_decade_ratio": 10.0, "ssi_explicit_pair": null, "ssi_include_down": false, "ssi_pool_different_pairs": false, "ssi_preferred_pairs": [[0.2, 2.0], [0.5, 5.0]], "ssi_primary_selection": "none", "ssi_ratio_tolerance_pct": 1.0, "stabilization_min_s": null, "stabilization_target_s": 600.0, "stabilization_temp_target_C": 25.0, "stabilization_temp_tolerance_C": null, "tail_seconds": 10.0, "torque_max_pct": 95.0, "torque_min_pct": 10.0}</t>
        </is>
      </c>
    </row>
  </sheetData>
  <mergeCells count="28">
    <mergeCell ref="C25:H25"/>
    <mergeCell ref="C26:H26"/>
    <mergeCell ref="C10:H10"/>
    <mergeCell ref="C16:H16"/>
    <mergeCell ref="C22:H22"/>
    <mergeCell ref="C9:H9"/>
    <mergeCell ref="C12:H12"/>
    <mergeCell ref="C21:H21"/>
    <mergeCell ref="C11:H11"/>
    <mergeCell ref="C27:H27"/>
    <mergeCell ref="C23:H23"/>
    <mergeCell ref="C8:H8"/>
    <mergeCell ref="C17:H17"/>
    <mergeCell ref="B3:H3"/>
    <mergeCell ref="C7:H7"/>
    <mergeCell ref="C19:H19"/>
    <mergeCell ref="C28:H28"/>
    <mergeCell ref="C13:H13"/>
    <mergeCell ref="B2:H2"/>
    <mergeCell ref="C18:H18"/>
    <mergeCell ref="C30:H30"/>
    <mergeCell ref="C15:H15"/>
    <mergeCell ref="C6:H6"/>
    <mergeCell ref="C24:H24"/>
    <mergeCell ref="C14:H14"/>
    <mergeCell ref="C5:H5"/>
    <mergeCell ref="C20:H20"/>
    <mergeCell ref="C29:H29"/>
  </mergeCells>
  <hyperlinks>
    <hyperlink ref="B1" location="'Lot_QC_Summary'!B2"/>
    <hyperlink ref="C1" location="'QC_Dictionary'!B2"/>
    <hyperlink ref="D1" location="'A_Replicates'!B2"/>
    <hyperlink ref="E1" location="'B_Replicates'!B2"/>
    <hyperlink ref="F1" location="'Density_Replicates'!B2"/>
    <hyperlink ref="G1" location="'A_Replicates_INCL'!B2"/>
    <hyperlink ref="H1" location="'A_Replicates_EXC'!B2"/>
    <hyperlink ref="I1" location="'Metric_Statistics'!B2"/>
    <hyperlink ref="J1" location="'A_Step_Replicates'!B2"/>
  </hyperlinks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AA9"/>
  <sheetViews>
    <sheetView showGridLines="0"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2" ht="28" customHeight="1">
      <c r="B2" s="2" t="inlineStr">
        <is>
          <t>DecadeSSI — 실측 10배 RPM 점도비</t>
        </is>
      </c>
    </row>
    <row r="3" ht="30" customHeight="1">
      <c r="B3" s="3" t="inlineStr">
        <is>
          <t>pair_id마다 독립 행이다. 공식 SSI와 같은 숫자를 여기 평균에 다시 넣지 않는다.</t>
        </is>
      </c>
    </row>
    <row r="5" ht="28" customHeight="1">
      <c r="B5" s="8" t="inlineStr">
        <is>
          <t>Lot</t>
        </is>
      </c>
      <c r="C5" s="8" t="inlineStr">
        <is>
          <t>Repeat</t>
        </is>
      </c>
      <c r="D5" s="8" t="inlineStr">
        <is>
          <t>Channel</t>
        </is>
      </c>
      <c r="E5" s="8" t="inlineStr">
        <is>
          <t>Direction</t>
        </is>
      </c>
      <c r="F5" s="8" t="inlineStr">
        <is>
          <t>Pair ID</t>
        </is>
      </c>
      <c r="G5" s="8" t="inlineStr">
        <is>
          <t>Official metric link</t>
        </is>
      </c>
      <c r="H5" s="8" t="inlineStr">
        <is>
          <t>Low RPM</t>
        </is>
      </c>
      <c r="I5" s="8" t="inlineStr">
        <is>
          <t>High RPM</t>
        </is>
      </c>
      <c r="J5" s="8" t="inlineStr">
        <is>
          <t>RPM ratio</t>
        </is>
      </c>
      <c r="K5" s="8" t="inlineStr">
        <is>
          <t>Ratio error %</t>
        </is>
      </c>
      <c r="L5" s="8" t="inlineStr">
        <is>
          <t>Low Step</t>
        </is>
      </c>
      <c r="M5" s="8" t="inlineStr">
        <is>
          <t>High Step</t>
        </is>
      </c>
      <c r="N5" s="8" t="inlineStr">
        <is>
          <t>Low shear rate</t>
        </is>
      </c>
      <c r="O5" s="8" t="inlineStr">
        <is>
          <t>High shear rate</t>
        </is>
      </c>
      <c r="P5" s="8" t="inlineStr">
        <is>
          <t>Low viscosity</t>
        </is>
      </c>
      <c r="Q5" s="8" t="inlineStr">
        <is>
          <t>High viscosity</t>
        </is>
      </c>
      <c r="R5" s="8" t="inlineStr">
        <is>
          <t>SSI</t>
        </is>
      </c>
      <c r="S5" s="8" t="inlineStr">
        <is>
          <t>Source type</t>
        </is>
      </c>
      <c r="T5" s="8" t="inlineStr">
        <is>
          <t>Value class</t>
        </is>
      </c>
      <c r="U5" s="8" t="inlineStr">
        <is>
          <t>Data status</t>
        </is>
      </c>
      <c r="V5" s="8" t="inlineStr">
        <is>
          <t>Acceptance status</t>
        </is>
      </c>
      <c r="W5" s="8" t="inlineStr">
        <is>
          <t>Included in Lot stats</t>
        </is>
      </c>
      <c r="X5" s="8" t="inlineStr">
        <is>
          <t>Lot-stat exclusion reason</t>
        </is>
      </c>
      <c r="Y5" s="8" t="inlineStr">
        <is>
          <t>Primary pair selected</t>
        </is>
      </c>
      <c r="Z5" s="8" t="inlineStr">
        <is>
          <t>Selection reason</t>
        </is>
      </c>
      <c r="AA5" s="8" t="inlineStr">
        <is>
          <t>Reason</t>
        </is>
      </c>
    </row>
    <row r="6">
      <c r="B6" t="inlineStr">
        <is>
          <t>SYN</t>
        </is>
      </c>
      <c r="C6" t="inlineStr">
        <is>
          <t>01</t>
        </is>
      </c>
      <c r="D6" t="inlineStr">
        <is>
          <t>strict</t>
        </is>
      </c>
      <c r="E6" t="inlineStr">
        <is>
          <t>up</t>
        </is>
      </c>
      <c r="F6" t="inlineStr">
        <is>
          <t>SSI_DECADE_UP_0P2_2</t>
        </is>
      </c>
      <c r="G6" t="inlineStr">
        <is>
          <t>A_SSI_FIELD_0P2_2</t>
        </is>
      </c>
      <c r="H6" t="n">
        <v>0.2</v>
      </c>
      <c r="I6" t="n">
        <v>2</v>
      </c>
      <c r="J6" t="n">
        <v>10</v>
      </c>
      <c r="K6" t="n">
        <v>0</v>
      </c>
      <c r="L6" t="n">
        <v>2</v>
      </c>
      <c r="M6" t="n">
        <v>8</v>
      </c>
      <c r="N6" t="n">
        <v>0.4</v>
      </c>
      <c r="O6" t="n">
        <v>4</v>
      </c>
      <c r="P6" t="n">
        <v>500000</v>
      </c>
      <c r="Q6" t="n">
        <v>50000</v>
      </c>
      <c r="R6" t="n">
        <v>10</v>
      </c>
      <c r="S6" t="inlineStr">
        <is>
          <t>measured</t>
        </is>
      </c>
      <c r="T6" t="inlineStr">
        <is>
          <t>strict 정량값</t>
        </is>
      </c>
      <c r="U6" t="inlineStr">
        <is>
          <t>OK</t>
        </is>
      </c>
      <c r="V6" t="inlineStr">
        <is>
          <t>ELIGIBLE</t>
        </is>
      </c>
      <c r="W6" t="n">
        <v>0</v>
      </c>
      <c r="X6" t="inlineStr">
        <is>
          <t>official metric link; dynamic 통계에 중복 집계하지 않음</t>
        </is>
      </c>
      <c r="Y6" t="n">
        <v>0</v>
      </c>
      <c r="Z6" t="inlineStr"/>
      <c r="AA6" t="inlineStr"/>
    </row>
    <row r="7">
      <c r="B7" t="inlineStr">
        <is>
          <t>SYN</t>
        </is>
      </c>
      <c r="C7" t="inlineStr">
        <is>
          <t>01</t>
        </is>
      </c>
      <c r="D7" t="inlineStr">
        <is>
          <t>strict</t>
        </is>
      </c>
      <c r="E7" t="inlineStr">
        <is>
          <t>up</t>
        </is>
      </c>
      <c r="F7" t="inlineStr">
        <is>
          <t>SSI_DECADE_UP_0P5_5</t>
        </is>
      </c>
      <c r="G7" t="inlineStr">
        <is>
          <t>A_SSI_QC_0P5_5</t>
        </is>
      </c>
      <c r="H7" t="n">
        <v>0.5</v>
      </c>
      <c r="I7" t="n">
        <v>5</v>
      </c>
      <c r="J7" t="n">
        <v>10</v>
      </c>
      <c r="K7" t="n">
        <v>0</v>
      </c>
      <c r="L7" t="n">
        <v>4</v>
      </c>
      <c r="M7" t="n">
        <v>11</v>
      </c>
      <c r="N7" t="n">
        <v>1</v>
      </c>
      <c r="O7" t="n">
        <v>10</v>
      </c>
      <c r="P7" t="n">
        <v>200000</v>
      </c>
      <c r="Q7" t="n">
        <v>20000</v>
      </c>
      <c r="R7" t="n">
        <v>10</v>
      </c>
      <c r="S7" t="inlineStr">
        <is>
          <t>measured</t>
        </is>
      </c>
      <c r="T7" t="inlineStr">
        <is>
          <t>strict 정량값</t>
        </is>
      </c>
      <c r="U7" t="inlineStr">
        <is>
          <t>OK</t>
        </is>
      </c>
      <c r="V7" t="inlineStr">
        <is>
          <t>ELIGIBLE</t>
        </is>
      </c>
      <c r="W7" t="n">
        <v>0</v>
      </c>
      <c r="X7" t="inlineStr">
        <is>
          <t>official metric link; dynamic 통계에 중복 집계하지 않음</t>
        </is>
      </c>
      <c r="Y7" t="n">
        <v>0</v>
      </c>
      <c r="Z7" t="inlineStr"/>
      <c r="AA7" t="inlineStr"/>
    </row>
    <row r="8">
      <c r="B8" t="inlineStr">
        <is>
          <t>SYN</t>
        </is>
      </c>
      <c r="C8" t="inlineStr">
        <is>
          <t>01</t>
        </is>
      </c>
      <c r="D8" t="inlineStr">
        <is>
          <t>inclusive</t>
        </is>
      </c>
      <c r="E8" t="inlineStr">
        <is>
          <t>up</t>
        </is>
      </c>
      <c r="F8" t="inlineStr">
        <is>
          <t>SSI_DECADE_UP_0P2_2</t>
        </is>
      </c>
      <c r="G8" t="inlineStr">
        <is>
          <t>A_SSI_FIELD_0P2_2</t>
        </is>
      </c>
      <c r="H8" t="n">
        <v>0.2</v>
      </c>
      <c r="I8" t="n">
        <v>2</v>
      </c>
      <c r="J8" t="n">
        <v>10</v>
      </c>
      <c r="K8" t="n">
        <v>0</v>
      </c>
      <c r="L8" t="n">
        <v>2</v>
      </c>
      <c r="M8" t="n">
        <v>8</v>
      </c>
      <c r="N8" t="n">
        <v>0.4</v>
      </c>
      <c r="O8" t="n">
        <v>4</v>
      </c>
      <c r="P8" t="n">
        <v>500000</v>
      </c>
      <c r="Q8" t="n">
        <v>50000</v>
      </c>
      <c r="R8" t="n">
        <v>10</v>
      </c>
      <c r="S8" t="inlineStr">
        <is>
          <t>measured</t>
        </is>
      </c>
      <c r="T8" t="inlineStr">
        <is>
          <t>strict 정량값</t>
        </is>
      </c>
      <c r="U8" t="inlineStr">
        <is>
          <t>OK</t>
        </is>
      </c>
      <c r="V8" t="inlineStr">
        <is>
          <t>ELIGIBLE</t>
        </is>
      </c>
      <c r="W8" t="n">
        <v>0</v>
      </c>
      <c r="X8" t="inlineStr">
        <is>
          <t>official metric link; dynamic 통계에 중복 집계하지 않음</t>
        </is>
      </c>
      <c r="Y8" t="n">
        <v>0</v>
      </c>
      <c r="Z8" t="inlineStr"/>
      <c r="AA8" t="inlineStr"/>
    </row>
    <row r="9">
      <c r="B9" t="inlineStr">
        <is>
          <t>SYN</t>
        </is>
      </c>
      <c r="C9" t="inlineStr">
        <is>
          <t>01</t>
        </is>
      </c>
      <c r="D9" t="inlineStr">
        <is>
          <t>inclusive</t>
        </is>
      </c>
      <c r="E9" t="inlineStr">
        <is>
          <t>up</t>
        </is>
      </c>
      <c r="F9" t="inlineStr">
        <is>
          <t>SSI_DECADE_UP_0P5_5</t>
        </is>
      </c>
      <c r="G9" t="inlineStr">
        <is>
          <t>A_SSI_QC_0P5_5</t>
        </is>
      </c>
      <c r="H9" t="n">
        <v>0.5</v>
      </c>
      <c r="I9" t="n">
        <v>5</v>
      </c>
      <c r="J9" t="n">
        <v>10</v>
      </c>
      <c r="K9" t="n">
        <v>0</v>
      </c>
      <c r="L9" t="n">
        <v>4</v>
      </c>
      <c r="M9" t="n">
        <v>11</v>
      </c>
      <c r="N9" t="n">
        <v>1</v>
      </c>
      <c r="O9" t="n">
        <v>10</v>
      </c>
      <c r="P9" t="n">
        <v>200000</v>
      </c>
      <c r="Q9" t="n">
        <v>20000</v>
      </c>
      <c r="R9" t="n">
        <v>10</v>
      </c>
      <c r="S9" t="inlineStr">
        <is>
          <t>measured</t>
        </is>
      </c>
      <c r="T9" t="inlineStr">
        <is>
          <t>strict 정량값</t>
        </is>
      </c>
      <c r="U9" t="inlineStr">
        <is>
          <t>OK</t>
        </is>
      </c>
      <c r="V9" t="inlineStr">
        <is>
          <t>ELIGIBLE</t>
        </is>
      </c>
      <c r="W9" t="n">
        <v>0</v>
      </c>
      <c r="X9" t="inlineStr">
        <is>
          <t>official metric link; dynamic 통계에 중복 집계하지 않음</t>
        </is>
      </c>
      <c r="Y9" t="n">
        <v>0</v>
      </c>
      <c r="Z9" t="inlineStr"/>
      <c r="AA9" t="inlineStr"/>
    </row>
  </sheetData>
  <mergeCells count="2">
    <mergeCell ref="B3:H3"/>
    <mergeCell ref="B2:H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2026-10-07T05:36:43Z</dcterms:created>
  <dcterms:modified xmlns:dcterms="http://purl.org/dc/terms/" xmlns:xsi="http://www.w3.org/2001/XMLSchema-instance" xsi:type="dcterms:W3CDTF">2026-10-07T05:36:44Z</dcterms:modified>
</cp:coreProperties>
</file>